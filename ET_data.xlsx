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ET_abm" sheetId="2" r:id="rId1"/>
    <sheet name="EEMD_trend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<sst xmlns="http://schemas.openxmlformats.org/spreadsheetml/2006/main" count="49" uniqueCount="17">
  <si>
    <t>eemd_trend</t>
  </si>
  <si>
    <t>SITH</t>
  </si>
  <si>
    <t>GLEAM</t>
  </si>
  <si>
    <t>CR</t>
  </si>
  <si>
    <t>NOAH</t>
  </si>
  <si>
    <t>MET</t>
  </si>
  <si>
    <t>CMIP6</t>
  </si>
  <si>
    <t>SiTH_GIMMS</t>
  </si>
  <si>
    <t>abm</t>
  </si>
  <si>
    <t>imfs3</t>
  </si>
  <si>
    <t>imfs4</t>
  </si>
  <si>
    <t>RN</t>
  </si>
  <si>
    <t>RN+IMFS3</t>
  </si>
  <si>
    <t>RN+IMFS4</t>
  </si>
  <si>
    <t>gleam</t>
  </si>
  <si>
    <t>rn+imfs3</t>
  </si>
  <si>
    <t>rn+imfs4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</si>
</sst>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EEMD_trend!$I$1</c:f>
              <c:strCache>
                <c:ptCount val="1"/>
                <c:pt idx="0">
                  <c:v>RN+IMFS4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EEMD_trend!$I$2:$I$40</c:f>
              <c:numCache>
                <c:formatCode>General</c:formatCode>
                <c:ptCount val="39"/>
                <c:pt idx="0">
                  <c:v>-9.86045464304544</c:v>
                </c:pt>
                <c:pt idx="1">
                  <c:v>-8.86728649305735</c:v>
                </c:pt>
                <c:pt idx="2">
                  <c:v>-7.91153815697895</c:v>
                </c:pt>
                <c:pt idx="3">
                  <c:v>-6.99415674009716</c:v>
                </c:pt>
                <c:pt idx="4">
                  <c:v>-6.11608934769878</c:v>
                </c:pt>
                <c:pt idx="5">
                  <c:v>-5.27828308507078</c:v>
                </c:pt>
                <c:pt idx="6">
                  <c:v>-4.4816850575</c:v>
                </c:pt>
                <c:pt idx="7">
                  <c:v>-3.72724237027335</c:v>
                </c:pt>
                <c:pt idx="8">
                  <c:v>-3.01590212867772</c:v>
                </c:pt>
                <c:pt idx="9">
                  <c:v>-2.34862080651599</c:v>
                </c:pt>
                <c:pt idx="10">
                  <c:v>-1.72639173104219</c:v>
                </c:pt>
                <c:pt idx="11">
                  <c:v>-1.15029517166989</c:v>
                </c:pt>
                <c:pt idx="12">
                  <c:v>-0.62192116977313</c:v>
                </c:pt>
                <c:pt idx="13">
                  <c:v>-0.14370651511189</c:v>
                </c:pt>
                <c:pt idx="14">
                  <c:v>0.28170773660984</c:v>
                </c:pt>
                <c:pt idx="15">
                  <c:v>0.651761376745611</c:v>
                </c:pt>
                <c:pt idx="16">
                  <c:v>0.964371756354148</c:v>
                </c:pt>
                <c:pt idx="17">
                  <c:v>1.21914166554846</c:v>
                </c:pt>
                <c:pt idx="18">
                  <c:v>1.41869016341957</c:v>
                </c:pt>
                <c:pt idx="19">
                  <c:v>1.56895188253722</c:v>
                </c:pt>
                <c:pt idx="20">
                  <c:v>1.67764911546843</c:v>
                </c:pt>
                <c:pt idx="21">
                  <c:v>1.75498746063541</c:v>
                </c:pt>
                <c:pt idx="22">
                  <c:v>1.81328386543182</c:v>
                </c:pt>
                <c:pt idx="23">
                  <c:v>1.86578718569228</c:v>
                </c:pt>
                <c:pt idx="24">
                  <c:v>1.92477011680158</c:v>
                </c:pt>
                <c:pt idx="25">
                  <c:v>2.00011534545839</c:v>
                </c:pt>
                <c:pt idx="26">
                  <c:v>2.09882589152154</c:v>
                </c:pt>
                <c:pt idx="27">
                  <c:v>2.2248937306837</c:v>
                </c:pt>
                <c:pt idx="28">
                  <c:v>2.38053190475521</c:v>
                </c:pt>
                <c:pt idx="29">
                  <c:v>2.56693567752919</c:v>
                </c:pt>
                <c:pt idx="30">
                  <c:v>2.78444019845096</c:v>
                </c:pt>
                <c:pt idx="31">
                  <c:v>3.03256350212869</c:v>
                </c:pt>
                <c:pt idx="32">
                  <c:v>3.31064589728263</c:v>
                </c:pt>
                <c:pt idx="33">
                  <c:v>3.61805474838603</c:v>
                </c:pt>
                <c:pt idx="34">
                  <c:v>3.95416515939662</c:v>
                </c:pt>
                <c:pt idx="35">
                  <c:v>4.31835223427211</c:v>
                </c:pt>
                <c:pt idx="36">
                  <c:v>4.70999107697024</c:v>
                </c:pt>
                <c:pt idx="37">
                  <c:v>5.12845679144876</c:v>
                </c:pt>
                <c:pt idx="38">
                  <c:v>5.57312448166538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EEMD_trend!$R$1</c:f>
              <c:strCache>
                <c:ptCount val="1"/>
                <c:pt idx="0">
                  <c:v>rn+imfs4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EEMD_trend!$R$2:$R$40</c:f>
              <c:numCache>
                <c:formatCode>General</c:formatCode>
                <c:ptCount val="39"/>
                <c:pt idx="0">
                  <c:v>-15.1361839285818</c:v>
                </c:pt>
                <c:pt idx="1">
                  <c:v>-13.7295130147917</c:v>
                </c:pt>
                <c:pt idx="2">
                  <c:v>-12.375527280583</c:v>
                </c:pt>
                <c:pt idx="3">
                  <c:v>-11.0745368257059</c:v>
                </c:pt>
                <c:pt idx="4">
                  <c:v>-9.82685174991017</c:v>
                </c:pt>
                <c:pt idx="5">
                  <c:v>-8.63278215294596</c:v>
                </c:pt>
                <c:pt idx="6">
                  <c:v>-7.4926381345632</c:v>
                </c:pt>
                <c:pt idx="7">
                  <c:v>-6.40672979451185</c:v>
                </c:pt>
                <c:pt idx="8">
                  <c:v>-5.37536723254191</c:v>
                </c:pt>
                <c:pt idx="9">
                  <c:v>-4.39886999656396</c:v>
                </c:pt>
                <c:pt idx="10">
                  <c:v>-3.47759530965115</c:v>
                </c:pt>
                <c:pt idx="11">
                  <c:v>-2.61212474602694</c:v>
                </c:pt>
                <c:pt idx="12">
                  <c:v>-1.80380783203254</c:v>
                </c:pt>
                <c:pt idx="13">
                  <c:v>-1.05389571775004</c:v>
                </c:pt>
                <c:pt idx="14">
                  <c:v>-0.363571466281438</c:v>
                </c:pt>
                <c:pt idx="15">
                  <c:v>0.266962770193658</c:v>
                </c:pt>
                <c:pt idx="16">
                  <c:v>0.838848819058772</c:v>
                </c:pt>
                <c:pt idx="17">
                  <c:v>1.35556391036654</c:v>
                </c:pt>
                <c:pt idx="18">
                  <c:v>1.82387580228948</c:v>
                </c:pt>
                <c:pt idx="19">
                  <c:v>2.25358753382323</c:v>
                </c:pt>
                <c:pt idx="20">
                  <c:v>2.65458214684554</c:v>
                </c:pt>
                <c:pt idx="21">
                  <c:v>3.0349800877308</c:v>
                </c:pt>
                <c:pt idx="22">
                  <c:v>3.39998862188276</c:v>
                </c:pt>
                <c:pt idx="23">
                  <c:v>3.75289569417693</c:v>
                </c:pt>
                <c:pt idx="24">
                  <c:v>4.09551342362776</c:v>
                </c:pt>
                <c:pt idx="25">
                  <c:v>4.42637974339259</c:v>
                </c:pt>
                <c:pt idx="26">
                  <c:v>4.74186409671863</c:v>
                </c:pt>
                <c:pt idx="27">
                  <c:v>5.03706247069528</c:v>
                </c:pt>
                <c:pt idx="28">
                  <c:v>5.3065185339846</c:v>
                </c:pt>
                <c:pt idx="29">
                  <c:v>5.54444743220804</c:v>
                </c:pt>
                <c:pt idx="30">
                  <c:v>5.74465534854662</c:v>
                </c:pt>
                <c:pt idx="31">
                  <c:v>5.90065137607042</c:v>
                </c:pt>
                <c:pt idx="32">
                  <c:v>6.00584894715543</c:v>
                </c:pt>
                <c:pt idx="33">
                  <c:v>6.05368572293081</c:v>
                </c:pt>
                <c:pt idx="34">
                  <c:v>6.03760877830033</c:v>
                </c:pt>
                <c:pt idx="35">
                  <c:v>5.95106518816784</c:v>
                </c:pt>
                <c:pt idx="36">
                  <c:v>5.78750202743706</c:v>
                </c:pt>
                <c:pt idx="37">
                  <c:v>5.54036637101184</c:v>
                </c:pt>
                <c:pt idx="38">
                  <c:v>5.20310529379598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77373248"/>
        <c:axId val="621570427"/>
      </c:lineChart>
      <c:catAx>
        <c:axId val="977373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570427"/>
        <c:crosses val="autoZero"/>
        <c:auto val="1"/>
        <c:lblAlgn val="ctr"/>
        <c:lblOffset val="100"/>
        <c:noMultiLvlLbl val="0"/>
      </c:catAx>
      <c:valAx>
        <c:axId val="6215704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7373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257468-553f-4ade-913b-cc3cc1e39e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EEMD_trend!$H$1</c:f>
              <c:strCache>
                <c:ptCount val="1"/>
                <c:pt idx="0">
                  <c:v>RN+IMFS3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EEMD_trend!$H$2:$H$40</c:f>
              <c:numCache>
                <c:formatCode>General</c:formatCode>
                <c:ptCount val="39"/>
                <c:pt idx="0">
                  <c:v>-10.50284807953</c:v>
                </c:pt>
                <c:pt idx="1">
                  <c:v>-8.49491739087039</c:v>
                </c:pt>
                <c:pt idx="2">
                  <c:v>-6.95815207752322</c:v>
                </c:pt>
                <c:pt idx="3">
                  <c:v>-5.87473909940664</c:v>
                </c:pt>
                <c:pt idx="4">
                  <c:v>-5.22686541643865</c:v>
                </c:pt>
                <c:pt idx="5">
                  <c:v>-4.99572475635189</c:v>
                </c:pt>
                <c:pt idx="6">
                  <c:v>-5.15220396173453</c:v>
                </c:pt>
                <c:pt idx="7">
                  <c:v>-5.62427491853255</c:v>
                </c:pt>
                <c:pt idx="8">
                  <c:v>-6.24679335839535</c:v>
                </c:pt>
                <c:pt idx="9">
                  <c:v>-6.74430082565239</c:v>
                </c:pt>
                <c:pt idx="10">
                  <c:v>-6.77422257765929</c:v>
                </c:pt>
                <c:pt idx="11">
                  <c:v>-6.02677487194335</c:v>
                </c:pt>
                <c:pt idx="12">
                  <c:v>-4.4056988105935</c:v>
                </c:pt>
                <c:pt idx="13">
                  <c:v>-2.11459430366262</c:v>
                </c:pt>
                <c:pt idx="14">
                  <c:v>0.38509251913304</c:v>
                </c:pt>
                <c:pt idx="15">
                  <c:v>2.56480439034639</c:v>
                </c:pt>
                <c:pt idx="16">
                  <c:v>3.99782991260638</c:v>
                </c:pt>
                <c:pt idx="17">
                  <c:v>4.48475543618582</c:v>
                </c:pt>
                <c:pt idx="18">
                  <c:v>4.10398116650373</c:v>
                </c:pt>
                <c:pt idx="19">
                  <c:v>3.13643728764222</c:v>
                </c:pt>
                <c:pt idx="20">
                  <c:v>1.97106252051916</c:v>
                </c:pt>
                <c:pt idx="21">
                  <c:v>0.956959385541821</c:v>
                </c:pt>
                <c:pt idx="22">
                  <c:v>0.31227436271111</c:v>
                </c:pt>
                <c:pt idx="23">
                  <c:v>0.11420114169092</c:v>
                </c:pt>
                <c:pt idx="24">
                  <c:v>0.32797576992254</c:v>
                </c:pt>
                <c:pt idx="25">
                  <c:v>0.85800451574928</c:v>
                </c:pt>
                <c:pt idx="26">
                  <c:v>1.59124120217923</c:v>
                </c:pt>
                <c:pt idx="27">
                  <c:v>2.42719865015007</c:v>
                </c:pt>
                <c:pt idx="28">
                  <c:v>3.25858181760596</c:v>
                </c:pt>
                <c:pt idx="29">
                  <c:v>4.009228619825</c:v>
                </c:pt>
                <c:pt idx="30">
                  <c:v>4.64319547190483</c:v>
                </c:pt>
                <c:pt idx="31">
                  <c:v>5.15945513981814</c:v>
                </c:pt>
                <c:pt idx="32">
                  <c:v>5.5622669914997</c:v>
                </c:pt>
                <c:pt idx="33">
                  <c:v>5.84608105900256</c:v>
                </c:pt>
                <c:pt idx="34">
                  <c:v>6.00541412001363</c:v>
                </c:pt>
                <c:pt idx="35">
                  <c:v>6.03775967897173</c:v>
                </c:pt>
                <c:pt idx="36">
                  <c:v>5.93930708900738</c:v>
                </c:pt>
                <c:pt idx="37">
                  <c:v>5.70573185115566</c:v>
                </c:pt>
                <c:pt idx="38">
                  <c:v>5.33270946645155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EEMD_trend!$Q$2</c:f>
              <c:strCache>
                <c:ptCount val="1"/>
                <c:pt idx="0">
                  <c:v>-16.3348759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EEMD_trend!$Q$3:$Q$40</c:f>
              <c:numCache>
                <c:formatCode>General</c:formatCode>
                <c:ptCount val="38"/>
                <c:pt idx="0">
                  <c:v>-14.3053157332101</c:v>
                </c:pt>
                <c:pt idx="1">
                  <c:v>-12.5310574573876</c:v>
                </c:pt>
                <c:pt idx="2">
                  <c:v>-11.010120949546</c:v>
                </c:pt>
                <c:pt idx="3">
                  <c:v>-9.74052609354302</c:v>
                </c:pt>
                <c:pt idx="4">
                  <c:v>-8.71922832589515</c:v>
                </c:pt>
                <c:pt idx="5">
                  <c:v>-7.93550116696608</c:v>
                </c:pt>
                <c:pt idx="6">
                  <c:v>-7.36010123336117</c:v>
                </c:pt>
                <c:pt idx="7">
                  <c:v>-6.93721651219222</c:v>
                </c:pt>
                <c:pt idx="8">
                  <c:v>-6.5591736492343</c:v>
                </c:pt>
                <c:pt idx="9">
                  <c:v>-6.03856573578769</c:v>
                </c:pt>
                <c:pt idx="10">
                  <c:v>-5.14470884113809</c:v>
                </c:pt>
                <c:pt idx="11">
                  <c:v>-3.70616650316549</c:v>
                </c:pt>
                <c:pt idx="12">
                  <c:v>-1.74308506546343</c:v>
                </c:pt>
                <c:pt idx="13">
                  <c:v>0.462296760947537</c:v>
                </c:pt>
                <c:pt idx="14">
                  <c:v>2.46780610591166</c:v>
                </c:pt>
                <c:pt idx="15">
                  <c:v>3.8246917156667</c:v>
                </c:pt>
                <c:pt idx="16">
                  <c:v>4.26851501806468</c:v>
                </c:pt>
                <c:pt idx="17">
                  <c:v>3.85040758593905</c:v>
                </c:pt>
                <c:pt idx="18">
                  <c:v>2.93656622767828</c:v>
                </c:pt>
                <c:pt idx="19">
                  <c:v>1.99751705239032</c:v>
                </c:pt>
                <c:pt idx="20">
                  <c:v>1.38545085108954</c:v>
                </c:pt>
                <c:pt idx="21">
                  <c:v>1.27097633517397</c:v>
                </c:pt>
                <c:pt idx="22">
                  <c:v>1.65246395695108</c:v>
                </c:pt>
                <c:pt idx="23">
                  <c:v>2.40726697719223</c:v>
                </c:pt>
                <c:pt idx="24">
                  <c:v>3.38750761074619</c:v>
                </c:pt>
                <c:pt idx="25">
                  <c:v>4.47556445932703</c:v>
                </c:pt>
                <c:pt idx="26">
                  <c:v>5.5585503927258</c:v>
                </c:pt>
                <c:pt idx="27">
                  <c:v>6.55032640701159</c:v>
                </c:pt>
                <c:pt idx="28">
                  <c:v>7.39265288547932</c:v>
                </c:pt>
                <c:pt idx="29">
                  <c:v>8.06188054812844</c:v>
                </c:pt>
                <c:pt idx="30">
                  <c:v>8.51454447246079</c:v>
                </c:pt>
                <c:pt idx="31">
                  <c:v>8.68811590481591</c:v>
                </c:pt>
                <c:pt idx="32">
                  <c:v>8.54499160079329</c:v>
                </c:pt>
                <c:pt idx="33">
                  <c:v>8.06845231653203</c:v>
                </c:pt>
                <c:pt idx="34">
                  <c:v>7.24738336838044</c:v>
                </c:pt>
                <c:pt idx="35">
                  <c:v>6.07595419111838</c:v>
                </c:pt>
                <c:pt idx="36">
                  <c:v>4.54960487255501</c:v>
                </c:pt>
                <c:pt idx="37">
                  <c:v>2.66377550049945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97175400"/>
        <c:axId val="321977462"/>
      </c:lineChart>
      <c:catAx>
        <c:axId val="697175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977462"/>
        <c:crosses val="autoZero"/>
        <c:auto val="1"/>
        <c:lblAlgn val="ctr"/>
        <c:lblOffset val="100"/>
        <c:noMultiLvlLbl val="0"/>
      </c:catAx>
      <c:valAx>
        <c:axId val="321977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717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480e7e-7ec2-4dda-8d15-291eac1c97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987425</xdr:colOff>
      <xdr:row>13</xdr:row>
      <xdr:rowOff>69850</xdr:rowOff>
    </xdr:from>
    <xdr:to>
      <xdr:col>17</xdr:col>
      <xdr:colOff>574675</xdr:colOff>
      <xdr:row>29</xdr:row>
      <xdr:rowOff>69850</xdr:rowOff>
    </xdr:to>
    <xdr:graphicFrame>
      <xdr:nvGraphicFramePr>
        <xdr:cNvPr id="11" name="图表 10"/>
        <xdr:cNvGraphicFramePr/>
      </xdr:nvGraphicFramePr>
      <xdr:xfrm>
        <a:off x="10418445" y="2381250"/>
        <a:ext cx="441769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758825</xdr:colOff>
      <xdr:row>13</xdr:row>
      <xdr:rowOff>69850</xdr:rowOff>
    </xdr:from>
    <xdr:to>
      <xdr:col>17</xdr:col>
      <xdr:colOff>346075</xdr:colOff>
      <xdr:row>29</xdr:row>
      <xdr:rowOff>69850</xdr:rowOff>
    </xdr:to>
    <xdr:graphicFrame>
      <xdr:nvGraphicFramePr>
        <xdr:cNvPr id="14" name="图表 13"/>
        <xdr:cNvGraphicFramePr/>
      </xdr:nvGraphicFramePr>
      <xdr:xfrm>
        <a:off x="10216515" y="2381250"/>
        <a:ext cx="439102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opLeftCell="A10" workbookViewId="0">
      <selection activeCell="C46" sqref="C46"/>
    </sheetView>
  </sheetViews>
  <sheetFormatPr defaultColWidth="9" defaultRowHeight="14" outlineLevelCol="7"/>
  <cols>
    <col min="3" max="8" width="14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1982</v>
      </c>
      <c r="C2">
        <v>-9.62184761024793</v>
      </c>
      <c r="D2">
        <v>-14.7542561335672</v>
      </c>
      <c r="E2">
        <v>-6.18494159045273</v>
      </c>
      <c r="F2">
        <v>-9.04211331795198</v>
      </c>
      <c r="G2">
        <v>-6.22070179281992</v>
      </c>
      <c r="H2">
        <v>-8.32948317903844</v>
      </c>
    </row>
    <row r="3" spans="1:8">
      <c r="A3">
        <v>1983</v>
      </c>
      <c r="C3">
        <v>-8.89733880105318</v>
      </c>
      <c r="D3">
        <v>-13.5211281956129</v>
      </c>
      <c r="E3">
        <v>-5.80056615154936</v>
      </c>
      <c r="F3">
        <v>-8.33767429586406</v>
      </c>
      <c r="G3">
        <v>-5.58354069593672</v>
      </c>
      <c r="H3">
        <v>-7.75055525733731</v>
      </c>
    </row>
    <row r="4" spans="1:8">
      <c r="A4">
        <v>1984</v>
      </c>
      <c r="C4">
        <v>-8.19066098528527</v>
      </c>
      <c r="D4">
        <v>-12.3247705625473</v>
      </c>
      <c r="E4">
        <v>-5.41709812324016</v>
      </c>
      <c r="F4">
        <v>-7.64531333466385</v>
      </c>
      <c r="G4">
        <v>-4.99316633708532</v>
      </c>
      <c r="H4">
        <v>-7.17640230545788</v>
      </c>
    </row>
    <row r="5" spans="1:8">
      <c r="A5">
        <v>1985</v>
      </c>
      <c r="C5">
        <v>-7.50181943079187</v>
      </c>
      <c r="D5">
        <v>-11.1652637093996</v>
      </c>
      <c r="E5">
        <v>-5.03459305849213</v>
      </c>
      <c r="F5">
        <v>-6.96504137396027</v>
      </c>
      <c r="G5">
        <v>-4.44566329135227</v>
      </c>
      <c r="H5">
        <v>-6.60703620987605</v>
      </c>
    </row>
    <row r="6" spans="1:8">
      <c r="A6">
        <v>1986</v>
      </c>
      <c r="C6">
        <v>-6.83081940542053</v>
      </c>
      <c r="D6">
        <v>-10.0426881111989</v>
      </c>
      <c r="E6">
        <v>-4.65310651027229</v>
      </c>
      <c r="F6">
        <v>-6.29686935336227</v>
      </c>
      <c r="G6">
        <v>-3.93711613382409</v>
      </c>
      <c r="H6">
        <v>-6.04246885706774</v>
      </c>
    </row>
    <row r="7" spans="1:8">
      <c r="A7">
        <v>1987</v>
      </c>
      <c r="C7">
        <v>-6.17766617701894</v>
      </c>
      <c r="D7">
        <v>-8.95712424297439</v>
      </c>
      <c r="E7">
        <v>-4.27269403154762</v>
      </c>
      <c r="F7">
        <v>-5.64080821247878</v>
      </c>
      <c r="G7">
        <v>-3.46360943958732</v>
      </c>
      <c r="H7">
        <v>-5.48271213350887</v>
      </c>
    </row>
    <row r="8" spans="1:8">
      <c r="A8">
        <v>1988</v>
      </c>
      <c r="C8">
        <v>-5.5423650134347</v>
      </c>
      <c r="D8">
        <v>-7.9086525797552</v>
      </c>
      <c r="E8">
        <v>-3.89341117528514</v>
      </c>
      <c r="F8">
        <v>-4.99686889091872</v>
      </c>
      <c r="G8">
        <v>-3.02122778372849</v>
      </c>
      <c r="H8">
        <v>-4.92777792567532</v>
      </c>
    </row>
    <row r="9" spans="1:8">
      <c r="A9">
        <v>1989</v>
      </c>
      <c r="C9">
        <v>-4.92492118251546</v>
      </c>
      <c r="D9">
        <v>-6.89735359657046</v>
      </c>
      <c r="E9">
        <v>-3.51531349445186</v>
      </c>
      <c r="F9">
        <v>-4.36506232829103</v>
      </c>
      <c r="G9">
        <v>-2.60605574133413</v>
      </c>
      <c r="H9">
        <v>-4.37767812004303</v>
      </c>
    </row>
    <row r="10" spans="1:8">
      <c r="A10">
        <v>1990</v>
      </c>
      <c r="C10">
        <v>-4.32533995210883</v>
      </c>
      <c r="D10">
        <v>-5.92330776844934</v>
      </c>
      <c r="E10">
        <v>-3.13845654201475</v>
      </c>
      <c r="F10">
        <v>-3.74539946420465</v>
      </c>
      <c r="G10">
        <v>-2.21417788749077</v>
      </c>
      <c r="H10">
        <v>-3.8324246030879</v>
      </c>
    </row>
    <row r="11" spans="1:8">
      <c r="A11">
        <v>1991</v>
      </c>
      <c r="C11">
        <v>-3.74362659006245</v>
      </c>
      <c r="D11">
        <v>-4.98659557042097</v>
      </c>
      <c r="E11">
        <v>-2.76289587094084</v>
      </c>
      <c r="F11">
        <v>-3.13789123826853</v>
      </c>
      <c r="G11">
        <v>-1.84205131903983</v>
      </c>
      <c r="H11">
        <v>-3.29202926128584</v>
      </c>
    </row>
    <row r="12" spans="1:8">
      <c r="A12">
        <v>1992</v>
      </c>
      <c r="C12">
        <v>-3.17978636422394</v>
      </c>
      <c r="D12">
        <v>-4.0872974775145</v>
      </c>
      <c r="E12">
        <v>-2.38868703419713</v>
      </c>
      <c r="F12">
        <v>-2.54254859009158</v>
      </c>
      <c r="G12">
        <v>-1.48772900508263</v>
      </c>
      <c r="H12">
        <v>-2.75650398111276</v>
      </c>
    </row>
    <row r="13" spans="1:8">
      <c r="A13">
        <v>1993</v>
      </c>
      <c r="C13">
        <v>-2.63382454244095</v>
      </c>
      <c r="D13">
        <v>-3.22549396475908</v>
      </c>
      <c r="E13">
        <v>-2.01588558475061</v>
      </c>
      <c r="F13">
        <v>-1.95938245928275</v>
      </c>
      <c r="G13">
        <v>-1.15013419778741</v>
      </c>
      <c r="H13">
        <v>-2.22586064904457</v>
      </c>
    </row>
    <row r="14" spans="1:8">
      <c r="A14">
        <v>1994</v>
      </c>
      <c r="C14">
        <v>-2.10574639256107</v>
      </c>
      <c r="D14">
        <v>-2.40126550718386</v>
      </c>
      <c r="E14">
        <v>-1.6445470755683</v>
      </c>
      <c r="F14">
        <v>-1.38840378545097</v>
      </c>
      <c r="G14">
        <v>-0.828270301403103</v>
      </c>
      <c r="H14">
        <v>-1.70011115155718</v>
      </c>
    </row>
    <row r="15" spans="1:8">
      <c r="A15">
        <v>1995</v>
      </c>
      <c r="C15">
        <v>-1.59555718243198</v>
      </c>
      <c r="D15">
        <v>-1.614692579818</v>
      </c>
      <c r="E15">
        <v>-1.27472705961719</v>
      </c>
      <c r="F15">
        <v>-0.829623508205186</v>
      </c>
      <c r="G15">
        <v>-0.519742674259459</v>
      </c>
      <c r="H15">
        <v>-1.17926737512651</v>
      </c>
    </row>
    <row r="16" spans="1:8">
      <c r="A16">
        <v>1996</v>
      </c>
      <c r="C16">
        <v>-1.10326217990127</v>
      </c>
      <c r="D16">
        <v>-0.865855657690633</v>
      </c>
      <c r="E16">
        <v>-0.906481089864289</v>
      </c>
      <c r="F16">
        <v>-0.283052567154322</v>
      </c>
      <c r="G16">
        <v>-0.221049291133553</v>
      </c>
      <c r="H16">
        <v>-0.663341206228457</v>
      </c>
    </row>
    <row r="17" spans="1:8">
      <c r="A17">
        <v>1997</v>
      </c>
      <c r="C17">
        <v>-0.628866652816579</v>
      </c>
      <c r="D17">
        <v>-0.154836081984963</v>
      </c>
      <c r="E17">
        <v>-0.539864719276601</v>
      </c>
      <c r="F17">
        <v>0.251298098092684</v>
      </c>
      <c r="G17">
        <v>0.0718056232822655</v>
      </c>
      <c r="H17">
        <v>-0.152344531338937</v>
      </c>
    </row>
    <row r="18" spans="1:8">
      <c r="A18">
        <v>1998</v>
      </c>
      <c r="C18">
        <v>-0.172375869025542</v>
      </c>
      <c r="D18">
        <v>0.518280792718801</v>
      </c>
      <c r="E18">
        <v>-0.174933500821126</v>
      </c>
      <c r="F18">
        <v>0.773417547926895</v>
      </c>
      <c r="G18">
        <v>0.36288758467873</v>
      </c>
      <c r="H18" s="1">
        <v>0.353710763066139</v>
      </c>
    </row>
    <row r="19" spans="1:8">
      <c r="A19">
        <v>1999</v>
      </c>
      <c r="C19">
        <v>0.266204903624214</v>
      </c>
      <c r="D19">
        <v>1.15340402771182</v>
      </c>
      <c r="E19">
        <v>0.188257012535131</v>
      </c>
      <c r="F19">
        <v>1.28329484273938</v>
      </c>
      <c r="G19">
        <v>0.656019834164136</v>
      </c>
      <c r="H19">
        <v>0.85481279051086</v>
      </c>
    </row>
    <row r="20" spans="1:8">
      <c r="A20">
        <v>2000</v>
      </c>
      <c r="C20">
        <v>0.68687039728506</v>
      </c>
      <c r="D20">
        <v>1.7504320440982</v>
      </c>
      <c r="E20">
        <v>0.549651267825169</v>
      </c>
      <c r="F20">
        <v>1.7809190429212</v>
      </c>
      <c r="G20">
        <v>0.95442917639611</v>
      </c>
      <c r="H20">
        <v>1.35094966451932</v>
      </c>
    </row>
    <row r="21" spans="1:8">
      <c r="A21">
        <v>2001</v>
      </c>
      <c r="C21">
        <v>1.08961534410937</v>
      </c>
      <c r="D21">
        <v>2.3092607401305</v>
      </c>
      <c r="E21">
        <v>0.909193712081984</v>
      </c>
      <c r="F21">
        <v>2.26627920886341</v>
      </c>
      <c r="G21">
        <v>1.26122714968593</v>
      </c>
      <c r="H21">
        <v>1.8421094986156</v>
      </c>
    </row>
    <row r="22" spans="1:8">
      <c r="A22">
        <v>2002</v>
      </c>
      <c r="C22">
        <v>1.47443447624951</v>
      </c>
      <c r="D22">
        <v>2.82978601406125</v>
      </c>
      <c r="E22">
        <v>1.26682879233857</v>
      </c>
      <c r="F22">
        <v>2.73936440095709</v>
      </c>
      <c r="G22">
        <v>1.57895997031325</v>
      </c>
      <c r="H22">
        <v>2.32828040632379</v>
      </c>
    </row>
    <row r="23" spans="1:8">
      <c r="A23">
        <v>2003</v>
      </c>
      <c r="C23">
        <v>1.84132252585786</v>
      </c>
      <c r="D23">
        <v>3.31190376414299</v>
      </c>
      <c r="E23">
        <v>1.62250095562793</v>
      </c>
      <c r="F23">
        <v>3.2001636795933</v>
      </c>
      <c r="G23">
        <v>1.90907466559959</v>
      </c>
      <c r="H23">
        <v>2.80945050116799</v>
      </c>
    </row>
    <row r="24" spans="1:8">
      <c r="A24">
        <v>2004</v>
      </c>
      <c r="C24">
        <v>2.19027422508677</v>
      </c>
      <c r="D24">
        <v>3.75550988862826</v>
      </c>
      <c r="E24">
        <v>1.97615464898306</v>
      </c>
      <c r="F24">
        <v>3.64866610516311</v>
      </c>
      <c r="G24">
        <v>2.25286602975596</v>
      </c>
      <c r="H24">
        <v>3.28560789667228</v>
      </c>
    </row>
    <row r="25" spans="1:8">
      <c r="A25">
        <v>2005</v>
      </c>
      <c r="C25">
        <v>2.52128430608863</v>
      </c>
      <c r="D25">
        <v>4.16049864390117</v>
      </c>
      <c r="E25">
        <v>2.32773431943695</v>
      </c>
      <c r="F25">
        <v>4.08486073805756</v>
      </c>
      <c r="G25">
        <v>2.61165596793487</v>
      </c>
      <c r="H25">
        <v>3.75674070636076</v>
      </c>
    </row>
    <row r="26" spans="1:8">
      <c r="A26">
        <v>2006</v>
      </c>
      <c r="C26">
        <v>2.83434750101582</v>
      </c>
      <c r="D26">
        <v>4.52675771887199</v>
      </c>
      <c r="E26">
        <v>2.6771844140226</v>
      </c>
      <c r="F26">
        <v>4.50873663866774</v>
      </c>
      <c r="G26">
        <v>2.98676638528883</v>
      </c>
      <c r="H26">
        <v>4.22283704375751</v>
      </c>
    </row>
    <row r="27" spans="1:8">
      <c r="A27">
        <v>2007</v>
      </c>
      <c r="C27">
        <v>3.12945854202068</v>
      </c>
      <c r="D27">
        <v>4.8541731605826</v>
      </c>
      <c r="E27">
        <v>3.02444937977301</v>
      </c>
      <c r="F27">
        <v>4.92028286738471</v>
      </c>
      <c r="G27">
        <v>3.37951918697037</v>
      </c>
      <c r="H27">
        <v>4.68388502238662</v>
      </c>
    </row>
    <row r="28" spans="1:8">
      <c r="A28">
        <v>2008</v>
      </c>
      <c r="C28">
        <v>3.40661216125561</v>
      </c>
      <c r="D28">
        <v>5.14263101607481</v>
      </c>
      <c r="E28">
        <v>3.36947366372118</v>
      </c>
      <c r="F28">
        <v>5.31948848459952</v>
      </c>
      <c r="G28">
        <v>3.79123627813199</v>
      </c>
      <c r="H28">
        <v>5.13987275577218</v>
      </c>
    </row>
    <row r="29" spans="1:8">
      <c r="A29">
        <v>2009</v>
      </c>
      <c r="C29">
        <v>3.66580309087296</v>
      </c>
      <c r="D29">
        <v>5.3920173323905</v>
      </c>
      <c r="E29">
        <v>3.7122017129001</v>
      </c>
      <c r="F29">
        <v>5.70634255070326</v>
      </c>
      <c r="G29">
        <v>4.22323956392621</v>
      </c>
      <c r="H29">
        <v>5.59078835743829</v>
      </c>
    </row>
    <row r="30" spans="1:8">
      <c r="A30">
        <v>2010</v>
      </c>
      <c r="C30">
        <v>3.90702606302511</v>
      </c>
      <c r="D30">
        <v>5.60221815657151</v>
      </c>
      <c r="E30">
        <v>4.05257797434277</v>
      </c>
      <c r="F30">
        <v>6.08083412608698</v>
      </c>
      <c r="G30">
        <v>4.67685094950554</v>
      </c>
      <c r="H30">
        <v>6.03661994090902</v>
      </c>
    </row>
    <row r="31" spans="1:8">
      <c r="A31">
        <v>2011</v>
      </c>
      <c r="C31">
        <v>4.13027580986443</v>
      </c>
      <c r="D31">
        <v>5.77311953565967</v>
      </c>
      <c r="E31">
        <v>4.39054689508219</v>
      </c>
      <c r="F31">
        <v>6.44295227114175</v>
      </c>
      <c r="G31">
        <v>5.15339234002251</v>
      </c>
      <c r="H31">
        <v>6.47735561970847</v>
      </c>
    </row>
    <row r="32" spans="1:8">
      <c r="A32">
        <v>2012</v>
      </c>
      <c r="C32">
        <v>4.3355470635433</v>
      </c>
      <c r="D32">
        <v>5.90460751669686</v>
      </c>
      <c r="E32">
        <v>4.72605292215135</v>
      </c>
      <c r="F32">
        <v>6.79268604625862</v>
      </c>
      <c r="H32">
        <v>6.91298350736073</v>
      </c>
    </row>
    <row r="33" spans="1:8">
      <c r="A33">
        <v>2013</v>
      </c>
      <c r="C33">
        <v>4.52283455621408</v>
      </c>
      <c r="D33">
        <v>5.99656814672488</v>
      </c>
      <c r="E33">
        <v>5.05904050258325</v>
      </c>
      <c r="F33">
        <v>7.13002451182866</v>
      </c>
      <c r="H33">
        <v>7.3434917173899</v>
      </c>
    </row>
    <row r="34" spans="1:8">
      <c r="A34">
        <v>2014</v>
      </c>
      <c r="C34">
        <v>4.69213302002913</v>
      </c>
      <c r="D34">
        <v>6.04888747278563</v>
      </c>
      <c r="E34">
        <v>5.38945408341089</v>
      </c>
      <c r="F34">
        <v>7.45495672824294</v>
      </c>
      <c r="H34">
        <v>7.76886836332004</v>
      </c>
    </row>
    <row r="35" spans="1:8">
      <c r="A35">
        <v>2015</v>
      </c>
      <c r="C35">
        <v>4.84343718714085</v>
      </c>
      <c r="D35">
        <v>6.06145154192093</v>
      </c>
      <c r="E35">
        <v>5.71723811166726</v>
      </c>
    </row>
    <row r="36" spans="1:8">
      <c r="A36">
        <v>2016</v>
      </c>
      <c r="C36">
        <v>4.97674178970159</v>
      </c>
      <c r="D36">
        <v>6.03414640117262</v>
      </c>
      <c r="E36">
        <v>6.04233703438536</v>
      </c>
    </row>
    <row r="37" spans="1:8">
      <c r="A37">
        <v>2017</v>
      </c>
      <c r="C37">
        <v>5.09204155986373</v>
      </c>
      <c r="D37">
        <v>5.96685809758259</v>
      </c>
    </row>
    <row r="38" spans="1:8">
      <c r="A38">
        <v>2018</v>
      </c>
      <c r="C38">
        <v>5.18933122977962</v>
      </c>
      <c r="D38">
        <v>5.85947267819262</v>
      </c>
    </row>
    <row r="39" spans="1:8">
      <c r="A39">
        <v>2019</v>
      </c>
      <c r="C39">
        <v>5.26860553160166</v>
      </c>
      <c r="D39">
        <v>5.71187619004461</v>
      </c>
    </row>
    <row r="40" spans="1:8">
      <c r="A40">
        <v>2020</v>
      </c>
      <c r="C40">
        <v>5.32985919748221</v>
      </c>
      <c r="D40">
        <v>5.52395468018041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40"/>
  <sheetViews>
    <sheetView tabSelected="1" workbookViewId="0">
      <selection activeCell="AV39" sqref="AV39"/>
    </sheetView>
  </sheetViews>
  <sheetFormatPr defaultColWidth="9" defaultRowHeight="14"/>
  <cols>
    <col min="6" max="6" width="12.6272727272727"/>
    <col min="8" max="18" width="13.7545454545455"/>
    <col min="26" max="27" width="13.7545454545455"/>
    <col min="35" max="36" width="13.7545454545455"/>
    <col min="38" max="44" width="13.7545454545455"/>
    <col min="46" max="53" width="14"/>
  </cols>
  <sheetData>
    <row r="1" spans="1:53">
      <c r="A1" t="s">
        <v>7</v>
      </c>
      <c r="B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8</v>
      </c>
      <c r="N1" t="s">
        <v>9</v>
      </c>
      <c r="O1" t="s">
        <v>10</v>
      </c>
      <c r="P1" t="s">
        <v>11</v>
      </c>
      <c r="Q1" t="s">
        <v>15</v>
      </c>
      <c r="R1" t="s">
        <v>16</v>
      </c>
      <c r="S1" t="s">
        <v>3</v>
      </c>
      <c r="T1" t="s">
        <v>8</v>
      </c>
      <c r="W1" t="s">
        <v>9</v>
      </c>
      <c r="X1" t="s">
        <v>10</v>
      </c>
      <c r="Y1" t="s">
        <v>11</v>
      </c>
      <c r="Z1" t="s">
        <v>15</v>
      </c>
      <c r="AA1" t="s">
        <v>16</v>
      </c>
      <c r="AB1" t="s">
        <v>4</v>
      </c>
      <c r="AC1" t="s">
        <v>8</v>
      </c>
      <c r="AF1" t="s">
        <v>9</v>
      </c>
      <c r="AG1" t="s">
        <v>10</v>
      </c>
      <c r="AH1" t="s">
        <v>11</v>
      </c>
      <c r="AI1" t="s">
        <v>15</v>
      </c>
      <c r="AJ1" t="s">
        <v>16</v>
      </c>
      <c r="AK1" t="s">
        <v>5</v>
      </c>
      <c r="AL1" t="s">
        <v>8</v>
      </c>
      <c r="AN1" t="s">
        <v>9</v>
      </c>
      <c r="AO1" t="s">
        <v>10</v>
      </c>
      <c r="AP1" t="s">
        <v>11</v>
      </c>
      <c r="AQ1" t="s">
        <v>15</v>
      </c>
      <c r="AR1" t="s">
        <v>16</v>
      </c>
      <c r="AS1" t="s">
        <v>6</v>
      </c>
      <c r="AT1" t="s">
        <v>8</v>
      </c>
      <c r="AW1" t="s">
        <v>9</v>
      </c>
      <c r="AX1" t="s">
        <v>10</v>
      </c>
      <c r="AY1" t="s">
        <v>11</v>
      </c>
      <c r="AZ1" t="s">
        <v>15</v>
      </c>
      <c r="BA1" t="s">
        <v>16</v>
      </c>
    </row>
    <row r="2" spans="1:53">
      <c r="A2">
        <v>1982</v>
      </c>
      <c r="B2">
        <v>-14.8121488366629</v>
      </c>
      <c r="C2">
        <v>-0.0775657656923457</v>
      </c>
      <c r="D2">
        <v>-3.6890135854951</v>
      </c>
      <c r="E2">
        <v>-0.881000469282093</v>
      </c>
      <c r="F2">
        <v>-0.238607032797507</v>
      </c>
      <c r="G2">
        <v>-9.62184761024793</v>
      </c>
      <c r="H2">
        <f>G2+E2</f>
        <v>-10.50284807953</v>
      </c>
      <c r="I2">
        <f>G2+F2</f>
        <v>-9.86045464304544</v>
      </c>
      <c r="K2">
        <v>-18.7343065846154</v>
      </c>
      <c r="L2">
        <v>-4.01223057979181</v>
      </c>
      <c r="M2">
        <v>1.98396889649109</v>
      </c>
      <c r="N2">
        <v>-1.58061975958845</v>
      </c>
      <c r="O2">
        <v>-0.381927795014608</v>
      </c>
      <c r="P2">
        <v>-14.7542561335672</v>
      </c>
      <c r="Q2">
        <f>P2+N2</f>
        <v>-16.3348758931557</v>
      </c>
      <c r="R2">
        <f>P2+O2</f>
        <v>-15.1361839285818</v>
      </c>
      <c r="T2">
        <v>-4.41188930000019</v>
      </c>
      <c r="U2">
        <v>-0.275476045050959</v>
      </c>
      <c r="V2">
        <v>0.205469172203664</v>
      </c>
      <c r="W2">
        <v>1.4141901432263</v>
      </c>
      <c r="X2">
        <v>0.21519089437648</v>
      </c>
      <c r="Y2">
        <v>-6.18494159045273</v>
      </c>
      <c r="Z2">
        <f>Y2+W2</f>
        <v>-4.77075144722643</v>
      </c>
      <c r="AA2">
        <f>Y2+X2</f>
        <v>-5.96975069607625</v>
      </c>
      <c r="AC2">
        <v>-9.89703932121234</v>
      </c>
      <c r="AD2">
        <v>-0.402290571487865</v>
      </c>
      <c r="AE2">
        <v>-0.0437595608380379</v>
      </c>
      <c r="AF2">
        <v>-0.637973613334527</v>
      </c>
      <c r="AG2">
        <v>-0.0246003549134509</v>
      </c>
      <c r="AH2">
        <v>-9.04211331795198</v>
      </c>
      <c r="AI2">
        <f>AH2+AF2</f>
        <v>-9.68008693128651</v>
      </c>
      <c r="AJ2">
        <f>AH2+AG2</f>
        <v>-9.06671367286543</v>
      </c>
      <c r="AL2">
        <v>-6.58637121333335</v>
      </c>
      <c r="AM2">
        <v>-0.403872886461855</v>
      </c>
      <c r="AN2">
        <v>0.321075444060598</v>
      </c>
      <c r="AO2">
        <v>-0.370112432965632</v>
      </c>
      <c r="AP2">
        <v>-6.22070179281992</v>
      </c>
      <c r="AQ2">
        <f>AP2+AN2</f>
        <v>-5.89962634875932</v>
      </c>
      <c r="AR2">
        <f>AP2+AO2</f>
        <v>-6.59081422578555</v>
      </c>
      <c r="AT2">
        <v>-7.95999366969682</v>
      </c>
      <c r="AU2">
        <v>0.806436494564418</v>
      </c>
      <c r="AV2">
        <v>-0.810382267024933</v>
      </c>
      <c r="AW2">
        <v>0.399247744257972</v>
      </c>
      <c r="AX2">
        <v>0.0292569363341092</v>
      </c>
      <c r="AY2">
        <v>-8.32948317903844</v>
      </c>
      <c r="AZ2">
        <f>AY2+AW2</f>
        <v>-7.93023543478047</v>
      </c>
      <c r="BA2">
        <f>AY2+AX2</f>
        <v>-8.30022624270433</v>
      </c>
    </row>
    <row r="3" spans="1:53">
      <c r="A3">
        <v>1983</v>
      </c>
      <c r="B3">
        <v>-12.0466779641508</v>
      </c>
      <c r="C3">
        <v>0.453221941267133</v>
      </c>
      <c r="D3">
        <v>-4.39909735790837</v>
      </c>
      <c r="E3">
        <v>0.402421410182792</v>
      </c>
      <c r="F3">
        <v>0.0300523079958293</v>
      </c>
      <c r="G3">
        <v>-8.89733880105318</v>
      </c>
      <c r="H3">
        <f t="shared" ref="H3:H40" si="0">G3+E3</f>
        <v>-8.49491739087039</v>
      </c>
      <c r="I3">
        <f t="shared" ref="I3:I40" si="1">G3+F3</f>
        <v>-8.86728649305735</v>
      </c>
      <c r="K3">
        <v>-11.9175593846156</v>
      </c>
      <c r="L3">
        <v>1.43257307141435</v>
      </c>
      <c r="M3">
        <v>0.924077110065882</v>
      </c>
      <c r="N3">
        <v>-0.784187537597211</v>
      </c>
      <c r="O3">
        <v>-0.208384819178756</v>
      </c>
      <c r="P3">
        <v>-13.5211281956129</v>
      </c>
      <c r="Q3">
        <f t="shared" ref="Q3:Q40" si="2">P3+N3</f>
        <v>-14.3053157332101</v>
      </c>
      <c r="R3">
        <f t="shared" ref="R3:R40" si="3">P3+O3</f>
        <v>-13.7295130147917</v>
      </c>
      <c r="T3">
        <v>-4.14833790000024</v>
      </c>
      <c r="U3">
        <v>1.54025218766374</v>
      </c>
      <c r="V3">
        <v>-1.92358340074102</v>
      </c>
      <c r="W3">
        <v>1.93532169088893</v>
      </c>
      <c r="X3">
        <v>-0.186533455118839</v>
      </c>
      <c r="Y3">
        <v>-5.80056615154936</v>
      </c>
      <c r="Z3">
        <f t="shared" ref="Z3:Z36" si="4">Y3+W3</f>
        <v>-3.86524446066043</v>
      </c>
      <c r="AA3">
        <f t="shared" ref="AA3:AA36" si="5">Y3+X3</f>
        <v>-5.9870996066682</v>
      </c>
      <c r="AC3">
        <v>-14.5045888212118</v>
      </c>
      <c r="AD3">
        <v>-5.41120153345971</v>
      </c>
      <c r="AE3">
        <v>-0.78357195600844</v>
      </c>
      <c r="AF3">
        <v>0.410378357467771</v>
      </c>
      <c r="AG3">
        <v>-0.158791385557745</v>
      </c>
      <c r="AH3">
        <v>-8.33767429586406</v>
      </c>
      <c r="AI3">
        <f t="shared" ref="AI3:AI34" si="6">AH3+AF3</f>
        <v>-7.92729593839629</v>
      </c>
      <c r="AJ3">
        <f t="shared" ref="AJ3:AJ34" si="7">AH3+AG3</f>
        <v>-8.4964656814218</v>
      </c>
      <c r="AL3">
        <v>-3.6886978133333</v>
      </c>
      <c r="AM3">
        <v>3.1652897588161</v>
      </c>
      <c r="AN3">
        <v>-0.119738278595287</v>
      </c>
      <c r="AO3">
        <v>-0.191637512286496</v>
      </c>
      <c r="AP3">
        <v>-5.58354069593672</v>
      </c>
      <c r="AQ3">
        <f t="shared" ref="AQ3:AQ31" si="8">AP3+AN3</f>
        <v>-5.70327897453201</v>
      </c>
      <c r="AR3">
        <f t="shared" ref="AR3:AR31" si="9">AP3+AO3</f>
        <v>-5.77517820822322</v>
      </c>
      <c r="AT3">
        <v>-9.73828556969682</v>
      </c>
      <c r="AU3">
        <v>-0.851797034631414</v>
      </c>
      <c r="AV3">
        <v>-2.15235893101713</v>
      </c>
      <c r="AW3">
        <v>1.07308588545825</v>
      </c>
      <c r="AX3">
        <v>-0.0150688080137743</v>
      </c>
      <c r="AY3">
        <v>-7.75055525733731</v>
      </c>
      <c r="AZ3">
        <f t="shared" ref="AZ3:AZ34" si="10">AY3+AW3</f>
        <v>-6.67746937187906</v>
      </c>
      <c r="BA3">
        <f t="shared" ref="BA3:BA34" si="11">AY3+AX3</f>
        <v>-7.76562406535108</v>
      </c>
    </row>
    <row r="4" spans="1:53">
      <c r="A4">
        <v>1984</v>
      </c>
      <c r="B4">
        <v>-9.76992609137749</v>
      </c>
      <c r="C4">
        <v>0.32604071980115</v>
      </c>
      <c r="D4">
        <v>-3.55667751159564</v>
      </c>
      <c r="E4">
        <v>1.23250890776205</v>
      </c>
      <c r="F4">
        <v>0.279122828306323</v>
      </c>
      <c r="G4">
        <v>-8.19066098528527</v>
      </c>
      <c r="H4">
        <f t="shared" si="0"/>
        <v>-6.95815207752322</v>
      </c>
      <c r="I4">
        <f t="shared" si="1"/>
        <v>-7.91153815697895</v>
      </c>
      <c r="K4">
        <v>-9.00212418461557</v>
      </c>
      <c r="L4">
        <v>5.65268936191136</v>
      </c>
      <c r="M4">
        <v>-1.66041838026035</v>
      </c>
      <c r="N4">
        <v>-0.206286894840324</v>
      </c>
      <c r="O4">
        <v>-0.0507567180356934</v>
      </c>
      <c r="P4">
        <v>-12.3247705625473</v>
      </c>
      <c r="Q4">
        <f t="shared" si="2"/>
        <v>-12.5310574573876</v>
      </c>
      <c r="R4">
        <f t="shared" si="3"/>
        <v>-12.375527280583</v>
      </c>
      <c r="T4">
        <v>-3.03842710000012</v>
      </c>
      <c r="U4">
        <v>3.25469560672918</v>
      </c>
      <c r="V4">
        <v>-3.16427068727347</v>
      </c>
      <c r="W4">
        <v>2.36329488161889</v>
      </c>
      <c r="X4">
        <v>-0.533849994340501</v>
      </c>
      <c r="Y4">
        <v>-5.41709812324016</v>
      </c>
      <c r="Z4">
        <f t="shared" si="4"/>
        <v>-3.05380324162127</v>
      </c>
      <c r="AA4">
        <f t="shared" si="5"/>
        <v>-5.95094811758066</v>
      </c>
      <c r="AC4">
        <v>-2.02051102121208</v>
      </c>
      <c r="AD4">
        <v>5.45456483270056</v>
      </c>
      <c r="AE4">
        <v>-1.28409410187483</v>
      </c>
      <c r="AF4">
        <v>1.14605418358025</v>
      </c>
      <c r="AG4">
        <v>-0.290893107342259</v>
      </c>
      <c r="AH4">
        <v>-7.64531333466385</v>
      </c>
      <c r="AI4">
        <f t="shared" si="6"/>
        <v>-6.4992591510836</v>
      </c>
      <c r="AJ4">
        <f t="shared" si="7"/>
        <v>-7.93620644200611</v>
      </c>
      <c r="AL4">
        <v>-9.86147661333327</v>
      </c>
      <c r="AM4">
        <v>-2.60751431242682</v>
      </c>
      <c r="AN4">
        <v>-1.00378059475352</v>
      </c>
      <c r="AO4">
        <v>-0.0127895465844233</v>
      </c>
      <c r="AP4">
        <v>-4.99316633708532</v>
      </c>
      <c r="AQ4">
        <f t="shared" si="8"/>
        <v>-5.99694693183884</v>
      </c>
      <c r="AR4">
        <f t="shared" si="9"/>
        <v>-5.00595588366974</v>
      </c>
      <c r="AT4">
        <v>-7.85413676969676</v>
      </c>
      <c r="AU4">
        <v>-0.495637354434701</v>
      </c>
      <c r="AV4">
        <v>-2.39809628128044</v>
      </c>
      <c r="AW4">
        <v>1.41009190277901</v>
      </c>
      <c r="AX4">
        <v>-0.0585047104418861</v>
      </c>
      <c r="AY4">
        <v>-7.17640230545788</v>
      </c>
      <c r="AZ4">
        <f t="shared" si="10"/>
        <v>-5.76631040267887</v>
      </c>
      <c r="BA4">
        <f t="shared" si="11"/>
        <v>-7.23490701589977</v>
      </c>
    </row>
    <row r="5" spans="1:53">
      <c r="A5">
        <v>1985</v>
      </c>
      <c r="B5">
        <v>-8.24435045512764</v>
      </c>
      <c r="C5">
        <v>-1.00254526934105</v>
      </c>
      <c r="D5">
        <v>-1.66802949781491</v>
      </c>
      <c r="E5">
        <v>1.62708033138523</v>
      </c>
      <c r="F5">
        <v>0.507662690694715</v>
      </c>
      <c r="G5">
        <v>-7.50181943079187</v>
      </c>
      <c r="H5">
        <f t="shared" si="0"/>
        <v>-5.87473909940664</v>
      </c>
      <c r="I5">
        <f t="shared" si="1"/>
        <v>-6.99415674009716</v>
      </c>
      <c r="K5">
        <v>-14.5399149846153</v>
      </c>
      <c r="L5">
        <v>-0.336364009082717</v>
      </c>
      <c r="M5">
        <v>-4.05244929102141</v>
      </c>
      <c r="N5">
        <v>0.155142759853582</v>
      </c>
      <c r="O5">
        <v>0.090726883693747</v>
      </c>
      <c r="P5">
        <v>-11.1652637093996</v>
      </c>
      <c r="Q5">
        <f t="shared" si="2"/>
        <v>-11.010120949546</v>
      </c>
      <c r="R5">
        <f t="shared" si="3"/>
        <v>-11.0745368257059</v>
      </c>
      <c r="T5">
        <v>-9.37914510000027</v>
      </c>
      <c r="U5">
        <v>-3.57199328986219</v>
      </c>
      <c r="V5">
        <v>-2.9837275863722</v>
      </c>
      <c r="W5">
        <v>2.65163243658494</v>
      </c>
      <c r="X5">
        <v>-0.827139658409934</v>
      </c>
      <c r="Y5">
        <v>-5.03459305849213</v>
      </c>
      <c r="Z5">
        <f t="shared" si="4"/>
        <v>-2.38296062190719</v>
      </c>
      <c r="AA5">
        <f t="shared" si="5"/>
        <v>-5.86173271690206</v>
      </c>
      <c r="AC5">
        <v>-9.39099662121212</v>
      </c>
      <c r="AD5">
        <v>-2.43566779594963</v>
      </c>
      <c r="AE5">
        <v>-1.52896850371591</v>
      </c>
      <c r="AF5">
        <v>1.5718578221298</v>
      </c>
      <c r="AG5">
        <v>-0.418202419649994</v>
      </c>
      <c r="AH5">
        <v>-6.96504137396027</v>
      </c>
      <c r="AI5">
        <f t="shared" si="6"/>
        <v>-5.39318355183047</v>
      </c>
      <c r="AJ5">
        <f t="shared" si="7"/>
        <v>-7.38324379361026</v>
      </c>
      <c r="AL5">
        <v>-6.79585611333334</v>
      </c>
      <c r="AM5">
        <v>-0.181866834494187</v>
      </c>
      <c r="AN5">
        <v>-1.5208980180119</v>
      </c>
      <c r="AO5">
        <v>0.150151037575907</v>
      </c>
      <c r="AP5">
        <v>-4.44566329135227</v>
      </c>
      <c r="AQ5">
        <f t="shared" si="8"/>
        <v>-5.96656130936417</v>
      </c>
      <c r="AR5">
        <f t="shared" si="9"/>
        <v>-4.29551225377636</v>
      </c>
      <c r="AT5">
        <v>-5.16371206969677</v>
      </c>
      <c r="AU5">
        <v>2.43249239218011</v>
      </c>
      <c r="AV5">
        <v>-1.91436073464905</v>
      </c>
      <c r="AW5">
        <v>1.45503534171356</v>
      </c>
      <c r="AX5">
        <v>-0.100178259178185</v>
      </c>
      <c r="AY5">
        <v>-6.60703620987605</v>
      </c>
      <c r="AZ5">
        <f t="shared" si="10"/>
        <v>-5.15200086816249</v>
      </c>
      <c r="BA5">
        <f t="shared" si="11"/>
        <v>-6.70721446905424</v>
      </c>
    </row>
    <row r="6" spans="1:53">
      <c r="A6">
        <v>1986</v>
      </c>
      <c r="B6">
        <v>-3.05510802970776</v>
      </c>
      <c r="C6">
        <v>0.711270005527121</v>
      </c>
      <c r="D6">
        <v>0.729700231013487</v>
      </c>
      <c r="E6">
        <v>1.60395398898188</v>
      </c>
      <c r="F6">
        <v>0.714730057721748</v>
      </c>
      <c r="G6">
        <v>-6.83081940542053</v>
      </c>
      <c r="H6">
        <f t="shared" si="0"/>
        <v>-5.22686541643865</v>
      </c>
      <c r="I6">
        <f t="shared" si="1"/>
        <v>-6.11608934769878</v>
      </c>
      <c r="K6">
        <v>-16.6770870846153</v>
      </c>
      <c r="L6">
        <v>-2.9631758058665</v>
      </c>
      <c r="M6">
        <v>-4.39866686770067</v>
      </c>
      <c r="N6">
        <v>0.302162017655885</v>
      </c>
      <c r="O6">
        <v>0.215836361288731</v>
      </c>
      <c r="P6">
        <v>-10.0426881111989</v>
      </c>
      <c r="Q6">
        <f t="shared" si="2"/>
        <v>-9.74052609354302</v>
      </c>
      <c r="R6">
        <f t="shared" si="3"/>
        <v>-9.82685174991017</v>
      </c>
      <c r="T6">
        <v>-5.60619380000025</v>
      </c>
      <c r="U6">
        <v>-1.46882177902164</v>
      </c>
      <c r="V6">
        <v>-1.14221284192016</v>
      </c>
      <c r="W6">
        <v>2.75385707695584</v>
      </c>
      <c r="X6">
        <v>-1.06678338244857</v>
      </c>
      <c r="Y6">
        <v>-4.65310651027229</v>
      </c>
      <c r="Z6">
        <f t="shared" si="4"/>
        <v>-1.89924943331645</v>
      </c>
      <c r="AA6">
        <f t="shared" si="5"/>
        <v>-5.71988989272086</v>
      </c>
      <c r="AC6">
        <v>-5.35233012121203</v>
      </c>
      <c r="AD6">
        <v>0.716681497231237</v>
      </c>
      <c r="AE6">
        <v>-1.37735685260806</v>
      </c>
      <c r="AF6">
        <v>1.69059323024332</v>
      </c>
      <c r="AG6">
        <v>-0.538016221863948</v>
      </c>
      <c r="AH6">
        <v>-6.29686935336227</v>
      </c>
      <c r="AI6">
        <f t="shared" si="6"/>
        <v>-4.60627612311895</v>
      </c>
      <c r="AJ6">
        <f t="shared" si="7"/>
        <v>-6.83488557522622</v>
      </c>
      <c r="AL6">
        <v>-4.06649771333331</v>
      </c>
      <c r="AM6">
        <v>-0.637928011600539</v>
      </c>
      <c r="AN6">
        <v>-1.03029931573779</v>
      </c>
      <c r="AO6">
        <v>0.280903813629815</v>
      </c>
      <c r="AP6">
        <v>-3.93711613382409</v>
      </c>
      <c r="AQ6">
        <f t="shared" si="8"/>
        <v>-4.96741544956188</v>
      </c>
      <c r="AR6">
        <f t="shared" si="9"/>
        <v>-3.65621232019427</v>
      </c>
      <c r="AT6">
        <v>-6.4785056696968</v>
      </c>
      <c r="AU6">
        <v>-0.552546869249653</v>
      </c>
      <c r="AV6">
        <v>-0.959157302609101</v>
      </c>
      <c r="AW6">
        <v>1.25268574775519</v>
      </c>
      <c r="AX6">
        <v>-0.139216942450629</v>
      </c>
      <c r="AY6">
        <v>-6.04246885706774</v>
      </c>
      <c r="AZ6">
        <f t="shared" si="10"/>
        <v>-4.78978310931255</v>
      </c>
      <c r="BA6">
        <f t="shared" si="11"/>
        <v>-6.18168579951837</v>
      </c>
    </row>
    <row r="7" spans="1:53">
      <c r="A7">
        <v>1987</v>
      </c>
      <c r="B7">
        <v>-0.114984985894696</v>
      </c>
      <c r="C7">
        <v>0.915786929367921</v>
      </c>
      <c r="D7">
        <v>3.04807089000547</v>
      </c>
      <c r="E7">
        <v>1.18194142066705</v>
      </c>
      <c r="F7">
        <v>0.899383091948164</v>
      </c>
      <c r="G7">
        <v>-6.17766617701894</v>
      </c>
      <c r="H7">
        <f t="shared" si="0"/>
        <v>-4.99572475635189</v>
      </c>
      <c r="I7">
        <f t="shared" si="1"/>
        <v>-5.27828308507078</v>
      </c>
      <c r="K7">
        <v>-13.0132077846153</v>
      </c>
      <c r="L7">
        <v>-3.68159362354299</v>
      </c>
      <c r="M7">
        <v>-1.12542446967797</v>
      </c>
      <c r="N7">
        <v>0.237895917079236</v>
      </c>
      <c r="O7">
        <v>0.324342090028425</v>
      </c>
      <c r="P7">
        <v>-8.95712424297439</v>
      </c>
      <c r="Q7">
        <f t="shared" si="2"/>
        <v>-8.71922832589515</v>
      </c>
      <c r="R7">
        <f t="shared" si="3"/>
        <v>-8.63278215294596</v>
      </c>
      <c r="T7">
        <v>1.19498209999982</v>
      </c>
      <c r="U7">
        <v>3.50025045122427</v>
      </c>
      <c r="V7">
        <v>1.26848492040552</v>
      </c>
      <c r="W7">
        <v>2.62282646281708</v>
      </c>
      <c r="X7">
        <v>-1.25316210157785</v>
      </c>
      <c r="Y7">
        <v>-4.27269403154762</v>
      </c>
      <c r="Z7">
        <f t="shared" si="4"/>
        <v>-1.64986756873054</v>
      </c>
      <c r="AA7">
        <f t="shared" si="5"/>
        <v>-5.52585613312547</v>
      </c>
      <c r="AC7">
        <v>-5.01878942121215</v>
      </c>
      <c r="AD7">
        <v>0.110918948287287</v>
      </c>
      <c r="AE7">
        <v>-0.290509023004265</v>
      </c>
      <c r="AF7">
        <v>1.50468301181195</v>
      </c>
      <c r="AG7">
        <v>-0.647631413367122</v>
      </c>
      <c r="AH7">
        <v>-5.64080821247878</v>
      </c>
      <c r="AI7">
        <f t="shared" si="6"/>
        <v>-4.13612520066683</v>
      </c>
      <c r="AJ7">
        <f t="shared" si="7"/>
        <v>-6.2884396258459</v>
      </c>
      <c r="AL7">
        <v>-2.04977591333329</v>
      </c>
      <c r="AM7">
        <v>0.366859284576903</v>
      </c>
      <c r="AN7">
        <v>0.238622278942741</v>
      </c>
      <c r="AO7">
        <v>0.363370497965065</v>
      </c>
      <c r="AP7">
        <v>-3.46360943958732</v>
      </c>
      <c r="AQ7">
        <f t="shared" si="8"/>
        <v>-3.22498716064458</v>
      </c>
      <c r="AR7">
        <f t="shared" si="9"/>
        <v>-3.10023894162225</v>
      </c>
      <c r="AT7">
        <v>-5.20237856969676</v>
      </c>
      <c r="AU7">
        <v>-1.7700365075267</v>
      </c>
      <c r="AV7">
        <v>0.588790652290034</v>
      </c>
      <c r="AW7">
        <v>0.847812666397224</v>
      </c>
      <c r="AX7">
        <v>-0.174748248487178</v>
      </c>
      <c r="AY7">
        <v>-5.48271213350887</v>
      </c>
      <c r="AZ7">
        <f t="shared" si="10"/>
        <v>-4.63489946711165</v>
      </c>
      <c r="BA7">
        <f t="shared" si="11"/>
        <v>-5.65746038199605</v>
      </c>
    </row>
    <row r="8" spans="1:53">
      <c r="A8">
        <v>1988</v>
      </c>
      <c r="B8">
        <v>-0.86728951927968</v>
      </c>
      <c r="C8">
        <v>-1.71958207627058</v>
      </c>
      <c r="D8">
        <v>4.98349289764769</v>
      </c>
      <c r="E8">
        <v>0.390161051700172</v>
      </c>
      <c r="F8">
        <v>1.0606799559347</v>
      </c>
      <c r="G8">
        <v>-5.5423650134347</v>
      </c>
      <c r="H8">
        <f t="shared" si="0"/>
        <v>-5.15220396173453</v>
      </c>
      <c r="I8">
        <f t="shared" si="1"/>
        <v>-4.4816850575</v>
      </c>
      <c r="K8">
        <v>0.663609915384545</v>
      </c>
      <c r="L8">
        <v>4.93360777023216</v>
      </c>
      <c r="M8">
        <v>3.64465132360565</v>
      </c>
      <c r="N8">
        <v>-0.026848587210882</v>
      </c>
      <c r="O8">
        <v>0.416014445191997</v>
      </c>
      <c r="P8">
        <v>-7.9086525797552</v>
      </c>
      <c r="Q8">
        <f t="shared" si="2"/>
        <v>-7.93550116696608</v>
      </c>
      <c r="R8">
        <f t="shared" si="3"/>
        <v>-7.4926381345632</v>
      </c>
      <c r="T8">
        <v>-1.17041600000016</v>
      </c>
      <c r="U8">
        <v>-0.814456563739133</v>
      </c>
      <c r="V8">
        <v>2.56187058296009</v>
      </c>
      <c r="W8">
        <v>2.21147389784494</v>
      </c>
      <c r="X8">
        <v>-1.3866567509192</v>
      </c>
      <c r="Y8">
        <v>-3.89341117528514</v>
      </c>
      <c r="Z8">
        <f t="shared" si="4"/>
        <v>-1.6819372774402</v>
      </c>
      <c r="AA8">
        <f t="shared" si="5"/>
        <v>-5.28006792620434</v>
      </c>
      <c r="AC8">
        <v>-3.73195232121218</v>
      </c>
      <c r="AD8">
        <v>-0.819243701214897</v>
      </c>
      <c r="AE8">
        <v>1.78165425148117</v>
      </c>
      <c r="AF8">
        <v>1.01721020195686</v>
      </c>
      <c r="AG8">
        <v>-0.744344893542511</v>
      </c>
      <c r="AH8">
        <v>-4.99686889091872</v>
      </c>
      <c r="AI8">
        <f t="shared" si="6"/>
        <v>-3.97965868896186</v>
      </c>
      <c r="AJ8">
        <f t="shared" si="7"/>
        <v>-5.74121378446123</v>
      </c>
      <c r="AL8">
        <v>0.886342386666685</v>
      </c>
      <c r="AM8">
        <v>2.0568009883891</v>
      </c>
      <c r="AN8">
        <v>1.34346778725946</v>
      </c>
      <c r="AO8">
        <v>0.382765294655669</v>
      </c>
      <c r="AP8">
        <v>-3.02122778372849</v>
      </c>
      <c r="AQ8">
        <f t="shared" si="8"/>
        <v>-1.67775999646903</v>
      </c>
      <c r="AR8">
        <f t="shared" si="9"/>
        <v>-2.63846248907282</v>
      </c>
      <c r="AT8">
        <v>-1.46489386969677</v>
      </c>
      <c r="AU8">
        <v>1.54991715751675</v>
      </c>
      <c r="AV8">
        <v>2.47355737256905</v>
      </c>
      <c r="AW8">
        <v>0.286295548042724</v>
      </c>
      <c r="AX8">
        <v>-0.20589966551579</v>
      </c>
      <c r="AY8">
        <v>-4.92777792567532</v>
      </c>
      <c r="AZ8">
        <f t="shared" si="10"/>
        <v>-4.6414823776326</v>
      </c>
      <c r="BA8">
        <f t="shared" si="11"/>
        <v>-5.13367759119111</v>
      </c>
    </row>
    <row r="9" spans="1:53">
      <c r="A9">
        <v>1989</v>
      </c>
      <c r="B9">
        <v>-0.295148249685665</v>
      </c>
      <c r="C9">
        <v>-2.02799267193946</v>
      </c>
      <c r="D9">
        <v>6.04896114144164</v>
      </c>
      <c r="E9">
        <v>-0.699353736017087</v>
      </c>
      <c r="F9">
        <v>1.19767881224211</v>
      </c>
      <c r="G9">
        <v>-4.92492118251546</v>
      </c>
      <c r="H9">
        <f t="shared" si="0"/>
        <v>-5.62427491853255</v>
      </c>
      <c r="I9">
        <f t="shared" si="1"/>
        <v>-3.72724237027335</v>
      </c>
      <c r="K9">
        <v>-1.35294288461546</v>
      </c>
      <c r="L9">
        <v>-0.322522918323933</v>
      </c>
      <c r="M9">
        <v>5.43742998619926</v>
      </c>
      <c r="N9">
        <v>-0.462747636790705</v>
      </c>
      <c r="O9">
        <v>0.490623802058608</v>
      </c>
      <c r="P9">
        <v>-6.89735359657046</v>
      </c>
      <c r="Q9">
        <f t="shared" si="2"/>
        <v>-7.36010123336117</v>
      </c>
      <c r="R9">
        <f t="shared" si="3"/>
        <v>-6.40672979451185</v>
      </c>
      <c r="T9">
        <v>-4.54734140000008</v>
      </c>
      <c r="U9">
        <v>-3.33643423748116</v>
      </c>
      <c r="V9">
        <v>2.31403870337837</v>
      </c>
      <c r="W9">
        <v>1.48718377962014</v>
      </c>
      <c r="X9">
        <v>-1.46764826559405</v>
      </c>
      <c r="Y9">
        <v>-3.51531349445186</v>
      </c>
      <c r="Z9">
        <f t="shared" si="4"/>
        <v>-2.02812971483172</v>
      </c>
      <c r="AA9">
        <f t="shared" si="5"/>
        <v>-4.98296176004591</v>
      </c>
      <c r="AC9">
        <v>-3.29076042121216</v>
      </c>
      <c r="AD9">
        <v>-2.34657838684484</v>
      </c>
      <c r="AE9">
        <v>3.72689316933074</v>
      </c>
      <c r="AF9">
        <v>0.249304845633173</v>
      </c>
      <c r="AG9">
        <v>-0.825453561773119</v>
      </c>
      <c r="AH9">
        <v>-4.36506232829103</v>
      </c>
      <c r="AI9">
        <f t="shared" si="6"/>
        <v>-4.11575748265786</v>
      </c>
      <c r="AJ9">
        <f t="shared" si="7"/>
        <v>-5.19051589006415</v>
      </c>
      <c r="AL9">
        <v>-3.88541501333327</v>
      </c>
      <c r="AM9">
        <v>-2.96066922602466</v>
      </c>
      <c r="AN9">
        <v>2.09193494742623</v>
      </c>
      <c r="AO9">
        <v>0.332492881455526</v>
      </c>
      <c r="AP9">
        <v>-2.60605574133413</v>
      </c>
      <c r="AQ9">
        <f t="shared" si="8"/>
        <v>-0.5141207939079</v>
      </c>
      <c r="AR9">
        <f t="shared" si="9"/>
        <v>-2.2735628598786</v>
      </c>
      <c r="AT9">
        <v>-2.08078526969678</v>
      </c>
      <c r="AU9">
        <v>-0.974483576317768</v>
      </c>
      <c r="AV9">
        <v>3.34167865603764</v>
      </c>
      <c r="AW9">
        <v>-0.378971824000143</v>
      </c>
      <c r="AX9">
        <v>-0.231798681764423</v>
      </c>
      <c r="AY9">
        <v>-4.37767812004303</v>
      </c>
      <c r="AZ9">
        <f t="shared" si="10"/>
        <v>-4.75664994404317</v>
      </c>
      <c r="BA9">
        <f t="shared" si="11"/>
        <v>-4.60947680180745</v>
      </c>
    </row>
    <row r="10" spans="1:53">
      <c r="A10">
        <v>1990</v>
      </c>
      <c r="B10">
        <v>5.22503940781321</v>
      </c>
      <c r="C10">
        <v>5.17449923702269</v>
      </c>
      <c r="D10">
        <v>4.49360281736191</v>
      </c>
      <c r="E10">
        <v>-1.92145340628652</v>
      </c>
      <c r="F10">
        <v>1.30943782343111</v>
      </c>
      <c r="G10">
        <v>-4.32533995210883</v>
      </c>
      <c r="H10">
        <f t="shared" si="0"/>
        <v>-6.24679335839535</v>
      </c>
      <c r="I10">
        <f t="shared" si="1"/>
        <v>-3.01590212867772</v>
      </c>
      <c r="K10">
        <v>-1.56673778461551</v>
      </c>
      <c r="L10">
        <v>1.83681771911277</v>
      </c>
      <c r="M10">
        <v>2.66889567324423</v>
      </c>
      <c r="N10">
        <v>-1.01390874374288</v>
      </c>
      <c r="O10">
        <v>0.54794053590743</v>
      </c>
      <c r="P10">
        <v>-5.92330776844934</v>
      </c>
      <c r="Q10">
        <f t="shared" si="2"/>
        <v>-6.93721651219222</v>
      </c>
      <c r="R10">
        <f t="shared" si="3"/>
        <v>-5.37536723254191</v>
      </c>
      <c r="T10">
        <v>1.37907499999983</v>
      </c>
      <c r="U10">
        <v>4.44629543426411</v>
      </c>
      <c r="V10">
        <v>0.849038071199236</v>
      </c>
      <c r="W10">
        <v>0.447668808368601</v>
      </c>
      <c r="X10">
        <v>-1.49650908110118</v>
      </c>
      <c r="Y10">
        <v>-3.13845654201475</v>
      </c>
      <c r="Z10">
        <f t="shared" si="4"/>
        <v>-2.69078773364615</v>
      </c>
      <c r="AA10">
        <f t="shared" si="5"/>
        <v>-4.63496562311593</v>
      </c>
      <c r="AC10">
        <v>4.56677347878792</v>
      </c>
      <c r="AD10">
        <v>6.45651716932518</v>
      </c>
      <c r="AE10">
        <v>3.57247341368722</v>
      </c>
      <c r="AF10">
        <v>-0.717583923069746</v>
      </c>
      <c r="AG10">
        <v>-0.888256985897917</v>
      </c>
      <c r="AH10">
        <v>-3.74539946420465</v>
      </c>
      <c r="AI10">
        <f t="shared" si="6"/>
        <v>-4.4629833872744</v>
      </c>
      <c r="AJ10">
        <f t="shared" si="7"/>
        <v>-4.63365645010257</v>
      </c>
      <c r="AL10">
        <v>1.98449958666674</v>
      </c>
      <c r="AM10">
        <v>0.924344325951733</v>
      </c>
      <c r="AN10">
        <v>2.34765583059898</v>
      </c>
      <c r="AO10">
        <v>0.236455940287962</v>
      </c>
      <c r="AP10">
        <v>-2.21417788749077</v>
      </c>
      <c r="AQ10">
        <f t="shared" si="8"/>
        <v>0.13347794310821</v>
      </c>
      <c r="AR10">
        <f t="shared" si="9"/>
        <v>-1.97772194720281</v>
      </c>
      <c r="AT10">
        <v>-0.945226069696786</v>
      </c>
      <c r="AU10">
        <v>2.63648674676492</v>
      </c>
      <c r="AV10">
        <v>2.03882075149191</v>
      </c>
      <c r="AW10">
        <v>-1.07347968014792</v>
      </c>
      <c r="AX10">
        <v>-0.251572785461036</v>
      </c>
      <c r="AY10">
        <v>-3.8324246030879</v>
      </c>
      <c r="AZ10">
        <f t="shared" si="10"/>
        <v>-4.90590428323582</v>
      </c>
      <c r="BA10">
        <f t="shared" si="11"/>
        <v>-4.08399738854894</v>
      </c>
    </row>
    <row r="11" spans="1:53">
      <c r="A11">
        <v>1991</v>
      </c>
      <c r="B11">
        <v>-5.31832340423163</v>
      </c>
      <c r="C11">
        <v>0.452826712159001</v>
      </c>
      <c r="D11">
        <v>-0.209914076931273</v>
      </c>
      <c r="E11">
        <v>-3.00067423558994</v>
      </c>
      <c r="F11">
        <v>1.39500578354646</v>
      </c>
      <c r="G11">
        <v>-3.74362659006245</v>
      </c>
      <c r="H11">
        <f t="shared" si="0"/>
        <v>-6.74430082565239</v>
      </c>
      <c r="I11">
        <f t="shared" si="1"/>
        <v>-2.34862080651599</v>
      </c>
      <c r="K11">
        <v>-9.66921258461556</v>
      </c>
      <c r="L11">
        <v>-2.17694614390806</v>
      </c>
      <c r="M11">
        <v>-1.38732861188899</v>
      </c>
      <c r="N11">
        <v>-1.57257807881333</v>
      </c>
      <c r="O11">
        <v>0.587725573857009</v>
      </c>
      <c r="P11">
        <v>-4.98659557042097</v>
      </c>
      <c r="Q11">
        <f t="shared" si="2"/>
        <v>-6.5591736492343</v>
      </c>
      <c r="R11">
        <f t="shared" si="3"/>
        <v>-4.39886999656396</v>
      </c>
      <c r="T11">
        <v>-3.80178870000013</v>
      </c>
      <c r="U11">
        <v>2.14998519639108</v>
      </c>
      <c r="V11">
        <v>-0.796565688975127</v>
      </c>
      <c r="W11">
        <v>-0.854706542361242</v>
      </c>
      <c r="X11">
        <v>-1.47358213253991</v>
      </c>
      <c r="Y11">
        <v>-2.76289587094084</v>
      </c>
      <c r="Z11">
        <f t="shared" si="4"/>
        <v>-3.61760241330208</v>
      </c>
      <c r="AA11">
        <f t="shared" si="5"/>
        <v>-4.23647800348075</v>
      </c>
      <c r="AC11">
        <v>-7.41380442121222</v>
      </c>
      <c r="AD11">
        <v>-2.2657009964881</v>
      </c>
      <c r="AE11">
        <v>0.736803871971894</v>
      </c>
      <c r="AF11">
        <v>-1.70609134043138</v>
      </c>
      <c r="AG11">
        <v>-0.930117497436681</v>
      </c>
      <c r="AH11">
        <v>-3.13789123826853</v>
      </c>
      <c r="AI11">
        <f t="shared" si="6"/>
        <v>-4.84398257869991</v>
      </c>
      <c r="AJ11">
        <f t="shared" si="7"/>
        <v>-4.06800873570521</v>
      </c>
      <c r="AL11">
        <v>1.2519938866667</v>
      </c>
      <c r="AM11">
        <v>1.39100050643755</v>
      </c>
      <c r="AN11">
        <v>1.08717793982947</v>
      </c>
      <c r="AO11">
        <v>0.156325300417916</v>
      </c>
      <c r="AP11">
        <v>-1.84205131903983</v>
      </c>
      <c r="AQ11">
        <f t="shared" si="8"/>
        <v>-0.75487337921036</v>
      </c>
      <c r="AR11">
        <f t="shared" si="9"/>
        <v>-1.68572601862191</v>
      </c>
      <c r="AT11">
        <v>-5.16444176969675</v>
      </c>
      <c r="AU11">
        <v>1.0920364088334</v>
      </c>
      <c r="AV11">
        <v>-0.691140893028263</v>
      </c>
      <c r="AW11">
        <v>-1.68025120700296</v>
      </c>
      <c r="AX11">
        <v>-0.264349464833589</v>
      </c>
      <c r="AY11">
        <v>-3.29202926128584</v>
      </c>
      <c r="AZ11">
        <f t="shared" si="10"/>
        <v>-4.9722804682888</v>
      </c>
      <c r="BA11">
        <f t="shared" si="11"/>
        <v>-3.55637872611943</v>
      </c>
    </row>
    <row r="12" spans="1:53">
      <c r="A12">
        <v>1992</v>
      </c>
      <c r="B12">
        <v>-15.3153141361746</v>
      </c>
      <c r="C12">
        <v>-5.3976557702726</v>
      </c>
      <c r="D12">
        <v>-4.62382967859257</v>
      </c>
      <c r="E12">
        <v>-3.59443621343535</v>
      </c>
      <c r="F12">
        <v>1.45339463318175</v>
      </c>
      <c r="G12">
        <v>-3.17978636422394</v>
      </c>
      <c r="H12">
        <f t="shared" si="0"/>
        <v>-6.77422257765929</v>
      </c>
      <c r="I12">
        <f t="shared" si="1"/>
        <v>-1.72639173104219</v>
      </c>
      <c r="K12">
        <v>-10.7086420846156</v>
      </c>
      <c r="L12">
        <v>-3.53559636994425</v>
      </c>
      <c r="M12">
        <v>-2.48472176707454</v>
      </c>
      <c r="N12">
        <v>-1.95126825827319</v>
      </c>
      <c r="O12">
        <v>0.609702167863346</v>
      </c>
      <c r="P12">
        <v>-4.0872974775145</v>
      </c>
      <c r="Q12">
        <f t="shared" si="2"/>
        <v>-6.03856573578769</v>
      </c>
      <c r="R12">
        <f t="shared" si="3"/>
        <v>-3.47759530965115</v>
      </c>
      <c r="T12">
        <v>-15.4912563000003</v>
      </c>
      <c r="U12">
        <v>-9.22406318145095</v>
      </c>
      <c r="V12">
        <v>-0.58872983669833</v>
      </c>
      <c r="W12">
        <v>-2.31236258266312</v>
      </c>
      <c r="X12">
        <v>-1.39924740206419</v>
      </c>
      <c r="Y12">
        <v>-2.38868703419713</v>
      </c>
      <c r="Z12">
        <f t="shared" si="4"/>
        <v>-4.70104961686025</v>
      </c>
      <c r="AA12">
        <f t="shared" si="5"/>
        <v>-3.78793443626132</v>
      </c>
      <c r="AC12">
        <v>-13.0995179212122</v>
      </c>
      <c r="AD12">
        <v>-4.89348994206982</v>
      </c>
      <c r="AE12">
        <v>-2.08190412233405</v>
      </c>
      <c r="AF12">
        <v>-2.4797064193135</v>
      </c>
      <c r="AG12">
        <v>-0.948720472831917</v>
      </c>
      <c r="AH12">
        <v>-2.54254859009158</v>
      </c>
      <c r="AI12">
        <f t="shared" si="6"/>
        <v>-5.02225500940508</v>
      </c>
      <c r="AJ12">
        <f t="shared" si="7"/>
        <v>-3.4912690629235</v>
      </c>
      <c r="AL12">
        <v>-3.44418211333334</v>
      </c>
      <c r="AM12">
        <v>-0.368218318472148</v>
      </c>
      <c r="AN12">
        <v>-1.37576765165274</v>
      </c>
      <c r="AO12">
        <v>0.17937217036017</v>
      </c>
      <c r="AP12">
        <v>-1.48772900508263</v>
      </c>
      <c r="AQ12">
        <f t="shared" si="8"/>
        <v>-2.86349665673537</v>
      </c>
      <c r="AR12">
        <f t="shared" si="9"/>
        <v>-1.30835683472246</v>
      </c>
      <c r="AT12">
        <v>-10.2226135696968</v>
      </c>
      <c r="AU12">
        <v>-2.26936268536096</v>
      </c>
      <c r="AV12">
        <v>-2.9064815326956</v>
      </c>
      <c r="AW12">
        <v>-2.07626209337248</v>
      </c>
      <c r="AX12">
        <v>-0.269263931408595</v>
      </c>
      <c r="AY12">
        <v>-2.75650398111276</v>
      </c>
      <c r="AZ12">
        <f t="shared" si="10"/>
        <v>-4.83276607448524</v>
      </c>
      <c r="BA12">
        <f t="shared" si="11"/>
        <v>-3.02576791252135</v>
      </c>
    </row>
    <row r="13" spans="1:53">
      <c r="A13">
        <v>1993</v>
      </c>
      <c r="B13">
        <v>-6.29004844324978</v>
      </c>
      <c r="C13">
        <v>3.35415725580201</v>
      </c>
      <c r="D13">
        <v>-5.18998341413642</v>
      </c>
      <c r="E13">
        <v>-3.3929503295024</v>
      </c>
      <c r="F13">
        <v>1.48352937077106</v>
      </c>
      <c r="G13">
        <v>-2.63382454244095</v>
      </c>
      <c r="H13">
        <f t="shared" si="0"/>
        <v>-6.02677487194335</v>
      </c>
      <c r="I13">
        <f t="shared" si="1"/>
        <v>-1.15029517166989</v>
      </c>
      <c r="K13">
        <v>-0.932112884615561</v>
      </c>
      <c r="L13">
        <v>5.01627495073786</v>
      </c>
      <c r="M13">
        <v>-1.07777579633764</v>
      </c>
      <c r="N13">
        <v>-1.91921487637901</v>
      </c>
      <c r="O13">
        <v>0.61336921873214</v>
      </c>
      <c r="P13">
        <v>-3.22549396475908</v>
      </c>
      <c r="Q13">
        <f t="shared" si="2"/>
        <v>-5.14470884113809</v>
      </c>
      <c r="R13">
        <f t="shared" si="3"/>
        <v>-2.61212474602694</v>
      </c>
      <c r="T13">
        <v>2.64546679999979</v>
      </c>
      <c r="U13">
        <v>8.25042180911089</v>
      </c>
      <c r="V13">
        <v>1.39858271059722</v>
      </c>
      <c r="W13">
        <v>-3.72625654733685</v>
      </c>
      <c r="X13">
        <v>-1.27414507736407</v>
      </c>
      <c r="Y13">
        <v>-2.01588558475061</v>
      </c>
      <c r="Z13">
        <f t="shared" si="4"/>
        <v>-5.74214213208746</v>
      </c>
      <c r="AA13">
        <f t="shared" si="5"/>
        <v>-3.29003066211468</v>
      </c>
      <c r="AC13">
        <v>-3.220444121212</v>
      </c>
      <c r="AD13">
        <v>5.33111738097244</v>
      </c>
      <c r="AE13">
        <v>-2.99793877082833</v>
      </c>
      <c r="AF13">
        <v>-2.78707820761515</v>
      </c>
      <c r="AG13">
        <v>-0.942298503747063</v>
      </c>
      <c r="AH13">
        <v>-1.95938245928275</v>
      </c>
      <c r="AI13">
        <f t="shared" si="6"/>
        <v>-4.7464606668979</v>
      </c>
      <c r="AJ13">
        <f t="shared" si="7"/>
        <v>-2.90168096302981</v>
      </c>
      <c r="AL13">
        <v>-4.87595021333333</v>
      </c>
      <c r="AM13">
        <v>-2.38691496303936</v>
      </c>
      <c r="AN13">
        <v>-3.00853090304658</v>
      </c>
      <c r="AO13">
        <v>0.403701897925965</v>
      </c>
      <c r="AP13">
        <v>-1.15013419778741</v>
      </c>
      <c r="AQ13">
        <f t="shared" si="8"/>
        <v>-4.15866510083399</v>
      </c>
      <c r="AR13">
        <f t="shared" si="9"/>
        <v>-0.746432299861445</v>
      </c>
      <c r="AT13">
        <v>-8.73872426969685</v>
      </c>
      <c r="AU13">
        <v>-1.93487397154196</v>
      </c>
      <c r="AV13">
        <v>-2.8376169834642</v>
      </c>
      <c r="AW13">
        <v>-2.16120093487134</v>
      </c>
      <c r="AX13">
        <v>-0.26558119541815</v>
      </c>
      <c r="AY13">
        <v>-2.22586064904457</v>
      </c>
      <c r="AZ13">
        <f t="shared" si="10"/>
        <v>-4.38706158391591</v>
      </c>
      <c r="BA13">
        <f t="shared" si="11"/>
        <v>-2.49144184446272</v>
      </c>
    </row>
    <row r="14" spans="1:53">
      <c r="A14">
        <v>1994</v>
      </c>
      <c r="B14">
        <v>-8.73637000033164</v>
      </c>
      <c r="C14">
        <v>-3.02359576836795</v>
      </c>
      <c r="D14">
        <v>-2.88464601889307</v>
      </c>
      <c r="E14">
        <v>-2.29995241803243</v>
      </c>
      <c r="F14">
        <v>1.48382522278794</v>
      </c>
      <c r="G14">
        <v>-2.10574639256107</v>
      </c>
      <c r="H14">
        <f t="shared" si="0"/>
        <v>-4.4056988105935</v>
      </c>
      <c r="I14">
        <f t="shared" si="1"/>
        <v>-0.62192116977313</v>
      </c>
      <c r="K14">
        <v>-6.29018978461555</v>
      </c>
      <c r="L14">
        <v>-3.15792104102591</v>
      </c>
      <c r="M14">
        <v>-0.716348709543159</v>
      </c>
      <c r="N14">
        <v>-1.30490099598163</v>
      </c>
      <c r="O14">
        <v>0.59745767515132</v>
      </c>
      <c r="P14">
        <v>-2.40126550718386</v>
      </c>
      <c r="Q14">
        <f t="shared" si="2"/>
        <v>-3.70616650316549</v>
      </c>
      <c r="R14">
        <f t="shared" si="3"/>
        <v>-1.80380783203254</v>
      </c>
      <c r="T14">
        <v>-3.93685190000027</v>
      </c>
      <c r="U14">
        <v>2.17221793838569</v>
      </c>
      <c r="V14">
        <v>1.24762767837382</v>
      </c>
      <c r="W14">
        <v>-4.81191489584457</v>
      </c>
      <c r="X14">
        <v>-1.09981162091913</v>
      </c>
      <c r="Y14">
        <v>-1.6445470755683</v>
      </c>
      <c r="Z14">
        <f t="shared" si="4"/>
        <v>-6.45646197141287</v>
      </c>
      <c r="AA14">
        <f t="shared" si="5"/>
        <v>-2.74435869648743</v>
      </c>
      <c r="AC14">
        <v>-9.0464177212118</v>
      </c>
      <c r="AD14">
        <v>-1.20274203455623</v>
      </c>
      <c r="AE14">
        <v>-2.91036645608955</v>
      </c>
      <c r="AF14">
        <v>-2.46913681524264</v>
      </c>
      <c r="AG14">
        <v>-0.909508085761867</v>
      </c>
      <c r="AH14">
        <v>-1.38840378545097</v>
      </c>
      <c r="AI14">
        <f t="shared" si="6"/>
        <v>-3.85754060069361</v>
      </c>
      <c r="AJ14">
        <f t="shared" si="7"/>
        <v>-2.29791187121284</v>
      </c>
      <c r="AL14">
        <v>-3.07788741333332</v>
      </c>
      <c r="AM14">
        <v>-0.879101748540096</v>
      </c>
      <c r="AN14">
        <v>-2.83667931060626</v>
      </c>
      <c r="AO14">
        <v>0.84931097894839</v>
      </c>
      <c r="AP14">
        <v>-0.828270301403103</v>
      </c>
      <c r="AQ14">
        <f t="shared" si="8"/>
        <v>-3.66494961200936</v>
      </c>
      <c r="AR14">
        <f t="shared" si="9"/>
        <v>0.021040677545287</v>
      </c>
      <c r="AT14">
        <v>-2.94467286969678</v>
      </c>
      <c r="AU14">
        <v>1.97190160877032</v>
      </c>
      <c r="AV14">
        <v>-0.572589169399889</v>
      </c>
      <c r="AW14">
        <v>-1.9263871080407</v>
      </c>
      <c r="AX14">
        <v>-0.252951739273488</v>
      </c>
      <c r="AY14">
        <v>-1.70011115155718</v>
      </c>
      <c r="AZ14">
        <f t="shared" si="10"/>
        <v>-3.62649825959788</v>
      </c>
      <c r="BA14">
        <f t="shared" si="11"/>
        <v>-1.95306289083067</v>
      </c>
    </row>
    <row r="15" spans="1:53">
      <c r="A15">
        <v>1995</v>
      </c>
      <c r="B15">
        <v>3.79722102315323</v>
      </c>
      <c r="C15">
        <v>5.05464678170893</v>
      </c>
      <c r="D15">
        <v>-0.461704609702673</v>
      </c>
      <c r="E15">
        <v>-0.519037121230641</v>
      </c>
      <c r="F15">
        <v>1.45185066732009</v>
      </c>
      <c r="G15">
        <v>-1.59555718243198</v>
      </c>
      <c r="H15">
        <f t="shared" si="0"/>
        <v>-2.11459430366262</v>
      </c>
      <c r="I15">
        <f t="shared" si="1"/>
        <v>-0.14370651511189</v>
      </c>
      <c r="K15">
        <v>0.974131015384525</v>
      </c>
      <c r="L15">
        <v>4.04524781092183</v>
      </c>
      <c r="M15">
        <v>-1.73647448628386</v>
      </c>
      <c r="N15">
        <v>-0.128392485645426</v>
      </c>
      <c r="O15">
        <v>0.560796862067956</v>
      </c>
      <c r="P15">
        <v>-1.614692579818</v>
      </c>
      <c r="Q15">
        <f t="shared" si="2"/>
        <v>-1.74308506546343</v>
      </c>
      <c r="R15">
        <f t="shared" si="3"/>
        <v>-1.05389571775004</v>
      </c>
      <c r="T15">
        <v>-13.4587706000004</v>
      </c>
      <c r="U15">
        <v>-4.34500591095691</v>
      </c>
      <c r="V15">
        <v>-1.17670550036039</v>
      </c>
      <c r="W15">
        <v>-5.2803448505944</v>
      </c>
      <c r="X15">
        <v>-0.87953380899639</v>
      </c>
      <c r="Y15">
        <v>-1.27472705961719</v>
      </c>
      <c r="Z15">
        <f t="shared" si="4"/>
        <v>-6.55507191021159</v>
      </c>
      <c r="AA15">
        <f t="shared" si="5"/>
        <v>-2.15426086861358</v>
      </c>
      <c r="AC15">
        <v>-5.07892432121216</v>
      </c>
      <c r="AD15">
        <v>0.311699715483832</v>
      </c>
      <c r="AE15">
        <v>-2.23000948725392</v>
      </c>
      <c r="AF15">
        <v>-1.5794285039032</v>
      </c>
      <c r="AG15">
        <v>-0.849709589577524</v>
      </c>
      <c r="AH15">
        <v>-0.829623508205186</v>
      </c>
      <c r="AI15">
        <f t="shared" si="6"/>
        <v>-2.40905201210839</v>
      </c>
      <c r="AJ15">
        <f t="shared" si="7"/>
        <v>-1.67933309778271</v>
      </c>
      <c r="AL15">
        <v>3.81157248666671</v>
      </c>
      <c r="AM15">
        <v>4.21843513090777</v>
      </c>
      <c r="AN15">
        <v>-1.23105726586603</v>
      </c>
      <c r="AO15">
        <v>1.40907209129362</v>
      </c>
      <c r="AP15">
        <v>-0.519742674259459</v>
      </c>
      <c r="AQ15">
        <f t="shared" si="8"/>
        <v>-1.75079994012549</v>
      </c>
      <c r="AR15">
        <f t="shared" si="9"/>
        <v>0.889329417034161</v>
      </c>
      <c r="AT15">
        <v>0.682448430303227</v>
      </c>
      <c r="AU15">
        <v>1.90231335006389</v>
      </c>
      <c r="AV15">
        <v>1.26662775695452</v>
      </c>
      <c r="AW15">
        <v>-1.42842458134326</v>
      </c>
      <c r="AX15">
        <v>-0.231286148446836</v>
      </c>
      <c r="AY15">
        <v>-1.17926737512651</v>
      </c>
      <c r="AZ15">
        <f t="shared" si="10"/>
        <v>-2.60769195646977</v>
      </c>
      <c r="BA15">
        <f t="shared" si="11"/>
        <v>-1.41055352357335</v>
      </c>
    </row>
    <row r="16" spans="1:53">
      <c r="A16">
        <v>1996</v>
      </c>
      <c r="B16">
        <v>-2.57889192912371</v>
      </c>
      <c r="C16">
        <v>-5.63650467052606</v>
      </c>
      <c r="D16">
        <v>1.59301747016685</v>
      </c>
      <c r="E16">
        <v>1.48835469903431</v>
      </c>
      <c r="F16">
        <v>1.38496991651111</v>
      </c>
      <c r="G16">
        <v>-1.10326217990127</v>
      </c>
      <c r="H16">
        <f t="shared" si="0"/>
        <v>0.38509251913304</v>
      </c>
      <c r="I16">
        <f t="shared" si="1"/>
        <v>0.28170773660984</v>
      </c>
      <c r="K16">
        <v>-7.59839288461559</v>
      </c>
      <c r="L16">
        <v>-7.80576618134911</v>
      </c>
      <c r="M16">
        <v>-1.39999567805288</v>
      </c>
      <c r="N16">
        <v>1.32815241863817</v>
      </c>
      <c r="O16">
        <v>0.502284191409195</v>
      </c>
      <c r="P16">
        <v>-0.865855657690633</v>
      </c>
      <c r="Q16">
        <f t="shared" si="2"/>
        <v>0.462296760947537</v>
      </c>
      <c r="R16">
        <f t="shared" si="3"/>
        <v>-0.363571466281438</v>
      </c>
      <c r="T16">
        <v>-14.3112229000002</v>
      </c>
      <c r="U16">
        <v>-5.68989564731506</v>
      </c>
      <c r="V16">
        <v>-2.1143387065819</v>
      </c>
      <c r="W16">
        <v>-4.91728222927656</v>
      </c>
      <c r="X16">
        <v>-0.619296586175294</v>
      </c>
      <c r="Y16">
        <v>-0.906481089864289</v>
      </c>
      <c r="Z16">
        <f t="shared" si="4"/>
        <v>-5.82376331914085</v>
      </c>
      <c r="AA16">
        <f t="shared" si="5"/>
        <v>-1.52577767603958</v>
      </c>
      <c r="AC16">
        <v>-5.33948722121201</v>
      </c>
      <c r="AD16">
        <v>-3.99242983651476</v>
      </c>
      <c r="AE16">
        <v>0.188306652819895</v>
      </c>
      <c r="AF16">
        <v>-0.384426339089537</v>
      </c>
      <c r="AG16">
        <v>-0.763079546592352</v>
      </c>
      <c r="AH16">
        <v>-0.283052567154322</v>
      </c>
      <c r="AI16">
        <f t="shared" si="6"/>
        <v>-0.667478906243859</v>
      </c>
      <c r="AJ16">
        <f t="shared" si="7"/>
        <v>-1.04613211374667</v>
      </c>
      <c r="AL16">
        <v>-2.17380981333326</v>
      </c>
      <c r="AM16">
        <v>-4.8414593087796</v>
      </c>
      <c r="AN16">
        <v>1.12753155333216</v>
      </c>
      <c r="AO16">
        <v>1.89584290768921</v>
      </c>
      <c r="AP16">
        <v>-0.221049291133553</v>
      </c>
      <c r="AQ16">
        <f t="shared" si="8"/>
        <v>0.906482262198607</v>
      </c>
      <c r="AR16">
        <f t="shared" si="9"/>
        <v>1.67479361655566</v>
      </c>
      <c r="AT16">
        <v>-0.741342569696825</v>
      </c>
      <c r="AU16">
        <v>-0.382954033846235</v>
      </c>
      <c r="AV16">
        <v>1.06595730469618</v>
      </c>
      <c r="AW16">
        <v>-0.751539056437529</v>
      </c>
      <c r="AX16">
        <v>-0.201434026001756</v>
      </c>
      <c r="AY16">
        <v>-0.663341206228457</v>
      </c>
      <c r="AZ16">
        <f t="shared" si="10"/>
        <v>-1.41488026266599</v>
      </c>
      <c r="BA16">
        <f t="shared" si="11"/>
        <v>-0.864775232230213</v>
      </c>
    </row>
    <row r="17" spans="1:53">
      <c r="A17">
        <v>1997</v>
      </c>
      <c r="B17">
        <v>9.88197975048615</v>
      </c>
      <c r="C17">
        <v>2.50406523834077</v>
      </c>
      <c r="D17">
        <v>3.03553949379553</v>
      </c>
      <c r="E17">
        <v>3.19367104316297</v>
      </c>
      <c r="F17">
        <v>1.28062802956219</v>
      </c>
      <c r="G17">
        <v>-0.628866652816579</v>
      </c>
      <c r="H17">
        <f t="shared" si="0"/>
        <v>2.56480439034639</v>
      </c>
      <c r="I17">
        <f t="shared" si="1"/>
        <v>0.651761376745611</v>
      </c>
      <c r="K17">
        <v>10.1304335153848</v>
      </c>
      <c r="L17">
        <v>6.47874826114507</v>
      </c>
      <c r="M17">
        <v>0.865785527922698</v>
      </c>
      <c r="N17">
        <v>2.62264218789662</v>
      </c>
      <c r="O17">
        <v>0.421798852178621</v>
      </c>
      <c r="P17">
        <v>-0.154836081984963</v>
      </c>
      <c r="Q17">
        <f t="shared" si="2"/>
        <v>2.46780610591166</v>
      </c>
      <c r="R17">
        <f t="shared" si="3"/>
        <v>0.266962770193658</v>
      </c>
      <c r="T17">
        <v>-2.23900720000016</v>
      </c>
      <c r="U17">
        <v>3.74344860197501</v>
      </c>
      <c r="V17">
        <v>-0.950923829675263</v>
      </c>
      <c r="W17">
        <v>-3.67790249630595</v>
      </c>
      <c r="X17">
        <v>-0.328435752011475</v>
      </c>
      <c r="Y17">
        <v>-0.539864719276601</v>
      </c>
      <c r="Z17">
        <f t="shared" si="4"/>
        <v>-4.21776721558255</v>
      </c>
      <c r="AA17">
        <f t="shared" si="5"/>
        <v>-0.868300471288076</v>
      </c>
      <c r="AC17">
        <v>7.33525877878799</v>
      </c>
      <c r="AD17">
        <v>3.41416537500867</v>
      </c>
      <c r="AE17">
        <v>3.07699564417366</v>
      </c>
      <c r="AF17">
        <v>0.728001751218054</v>
      </c>
      <c r="AG17">
        <v>-0.650294053321142</v>
      </c>
      <c r="AH17">
        <v>0.251298098092684</v>
      </c>
      <c r="AI17">
        <f t="shared" si="6"/>
        <v>0.979299849310738</v>
      </c>
      <c r="AJ17">
        <f t="shared" si="7"/>
        <v>-0.398995955228458</v>
      </c>
      <c r="AL17">
        <v>7.4876913866667</v>
      </c>
      <c r="AM17">
        <v>2.70703282306471</v>
      </c>
      <c r="AN17">
        <v>3.46062595835725</v>
      </c>
      <c r="AO17">
        <v>2.09793684098582</v>
      </c>
      <c r="AP17">
        <v>0.0718056232822655</v>
      </c>
      <c r="AQ17">
        <f t="shared" si="8"/>
        <v>3.53243158163952</v>
      </c>
      <c r="AR17">
        <f t="shared" si="9"/>
        <v>2.16974246426809</v>
      </c>
      <c r="AT17">
        <v>-1.73560586969677</v>
      </c>
      <c r="AU17">
        <v>-1.33294190205672</v>
      </c>
      <c r="AV17">
        <v>-0.0744175399134289</v>
      </c>
      <c r="AW17">
        <v>-0.0159947671624618</v>
      </c>
      <c r="AX17">
        <v>-0.164602915043352</v>
      </c>
      <c r="AY17">
        <v>-0.152344531338937</v>
      </c>
      <c r="AZ17">
        <f t="shared" si="10"/>
        <v>-0.168339298501399</v>
      </c>
      <c r="BA17">
        <f t="shared" si="11"/>
        <v>-0.316947446382289</v>
      </c>
    </row>
    <row r="18" spans="1:53">
      <c r="A18">
        <v>1998</v>
      </c>
      <c r="B18">
        <v>12.1745241188533</v>
      </c>
      <c r="C18">
        <v>4.74023145795403</v>
      </c>
      <c r="D18">
        <v>2.69789218589936</v>
      </c>
      <c r="E18">
        <v>4.17020578163192</v>
      </c>
      <c r="F18">
        <v>1.13674762537969</v>
      </c>
      <c r="G18">
        <v>-0.172375869025542</v>
      </c>
      <c r="H18">
        <f t="shared" si="0"/>
        <v>3.99782991260638</v>
      </c>
      <c r="I18">
        <f t="shared" si="1"/>
        <v>0.964371756354148</v>
      </c>
      <c r="K18">
        <v>6.85426861538438</v>
      </c>
      <c r="L18">
        <v>-0.346802863626865</v>
      </c>
      <c r="M18">
        <v>2.71621999156282</v>
      </c>
      <c r="N18">
        <v>3.3064109229479</v>
      </c>
      <c r="O18">
        <v>0.320568026339971</v>
      </c>
      <c r="P18">
        <v>0.518280792718801</v>
      </c>
      <c r="Q18">
        <f t="shared" si="2"/>
        <v>3.8246917156667</v>
      </c>
      <c r="R18">
        <f t="shared" si="3"/>
        <v>0.838848819058772</v>
      </c>
      <c r="T18">
        <v>4.58626579999998</v>
      </c>
      <c r="U18">
        <v>6.26200216761894</v>
      </c>
      <c r="V18">
        <v>-0.458076579131003</v>
      </c>
      <c r="W18">
        <v>-1.7102344599669</v>
      </c>
      <c r="X18">
        <v>-0.0193424371359241</v>
      </c>
      <c r="Y18">
        <v>-0.174933500821126</v>
      </c>
      <c r="Z18">
        <f t="shared" si="4"/>
        <v>-1.88516796078803</v>
      </c>
      <c r="AA18">
        <f t="shared" si="5"/>
        <v>-0.19427593795705</v>
      </c>
      <c r="AC18">
        <v>8.47462927878793</v>
      </c>
      <c r="AD18">
        <v>3.22054504683968</v>
      </c>
      <c r="AE18">
        <v>3.80975139284206</v>
      </c>
      <c r="AF18">
        <v>1.39879064690983</v>
      </c>
      <c r="AG18">
        <v>-0.513173190510685</v>
      </c>
      <c r="AH18">
        <v>0.773417547926895</v>
      </c>
      <c r="AI18">
        <f t="shared" si="6"/>
        <v>2.17220819483672</v>
      </c>
      <c r="AJ18">
        <f t="shared" si="7"/>
        <v>0.26024435741621</v>
      </c>
      <c r="AL18">
        <v>10.9497279866667</v>
      </c>
      <c r="AM18">
        <v>4.04746643579206</v>
      </c>
      <c r="AN18">
        <v>4.26617604536457</v>
      </c>
      <c r="AO18">
        <v>1.87745452458034</v>
      </c>
      <c r="AP18">
        <v>0.36288758467873</v>
      </c>
      <c r="AQ18">
        <f t="shared" si="8"/>
        <v>4.6290636300433</v>
      </c>
      <c r="AR18">
        <f t="shared" si="9"/>
        <v>2.24034210925907</v>
      </c>
      <c r="AT18">
        <v>-1.19905776969676</v>
      </c>
      <c r="AU18">
        <v>-1.49896505111058</v>
      </c>
      <c r="AV18">
        <v>-0.295669535607255</v>
      </c>
      <c r="AW18">
        <v>0.650339378512721</v>
      </c>
      <c r="AX18">
        <v>-0.122203466642345</v>
      </c>
      <c r="AY18">
        <v>0.353710763066139</v>
      </c>
      <c r="AZ18">
        <f t="shared" si="10"/>
        <v>1.00405014157886</v>
      </c>
      <c r="BA18">
        <f t="shared" si="11"/>
        <v>0.231507296423794</v>
      </c>
    </row>
    <row r="19" spans="1:53">
      <c r="A19">
        <v>1999</v>
      </c>
      <c r="B19">
        <v>0.741076323800252</v>
      </c>
      <c r="C19">
        <v>-5.81475332992864</v>
      </c>
      <c r="D19">
        <v>0.976275548881217</v>
      </c>
      <c r="E19">
        <v>4.21855053256161</v>
      </c>
      <c r="F19">
        <v>0.952936761924243</v>
      </c>
      <c r="G19">
        <v>0.266204903624214</v>
      </c>
      <c r="H19">
        <f t="shared" si="0"/>
        <v>4.48475543618582</v>
      </c>
      <c r="I19">
        <f t="shared" si="1"/>
        <v>1.21914166554846</v>
      </c>
      <c r="K19">
        <v>3.67967061538452</v>
      </c>
      <c r="L19">
        <v>-4.14957889099111</v>
      </c>
      <c r="M19">
        <v>3.23671565516519</v>
      </c>
      <c r="N19">
        <v>3.11511099035286</v>
      </c>
      <c r="O19">
        <v>0.202159882654724</v>
      </c>
      <c r="P19">
        <v>1.15340402771182</v>
      </c>
      <c r="Q19">
        <f t="shared" si="2"/>
        <v>4.26851501806468</v>
      </c>
      <c r="R19">
        <f t="shared" si="3"/>
        <v>1.35556391036654</v>
      </c>
      <c r="T19">
        <v>-6.82623500000013</v>
      </c>
      <c r="U19">
        <v>-6.88376305401773</v>
      </c>
      <c r="V19">
        <v>-0.900090131300501</v>
      </c>
      <c r="W19">
        <v>0.669225104177771</v>
      </c>
      <c r="X19">
        <v>0.294226340759227</v>
      </c>
      <c r="Y19">
        <v>0.188257012535131</v>
      </c>
      <c r="Z19">
        <f t="shared" si="4"/>
        <v>0.857482116712902</v>
      </c>
      <c r="AA19">
        <f t="shared" si="5"/>
        <v>0.482483353294358</v>
      </c>
      <c r="AC19">
        <v>-1.03963042121209</v>
      </c>
      <c r="AD19">
        <v>-5.74448341260893</v>
      </c>
      <c r="AE19">
        <v>2.20958109850203</v>
      </c>
      <c r="AF19">
        <v>1.44781606932329</v>
      </c>
      <c r="AG19">
        <v>-0.355923417498719</v>
      </c>
      <c r="AH19">
        <v>1.28329484273938</v>
      </c>
      <c r="AI19">
        <f t="shared" si="6"/>
        <v>2.73111091206267</v>
      </c>
      <c r="AJ19">
        <f t="shared" si="7"/>
        <v>0.927371425240661</v>
      </c>
      <c r="AL19">
        <v>-0.608056813333292</v>
      </c>
      <c r="AM19">
        <v>-4.78921305579557</v>
      </c>
      <c r="AN19">
        <v>2.87567774326655</v>
      </c>
      <c r="AO19">
        <v>1.23986104482861</v>
      </c>
      <c r="AP19">
        <v>0.656019834164136</v>
      </c>
      <c r="AQ19">
        <f t="shared" si="8"/>
        <v>3.53169757743069</v>
      </c>
      <c r="AR19">
        <f t="shared" si="9"/>
        <v>1.89588087899275</v>
      </c>
      <c r="AT19">
        <v>3.66725463030321</v>
      </c>
      <c r="AU19">
        <v>0.856761711741768</v>
      </c>
      <c r="AV19">
        <v>0.382841702286728</v>
      </c>
      <c r="AW19">
        <v>1.15769714520957</v>
      </c>
      <c r="AX19">
        <v>-0.0763449818938843</v>
      </c>
      <c r="AY19">
        <v>0.85481279051086</v>
      </c>
      <c r="AZ19">
        <f t="shared" si="10"/>
        <v>2.01250993572043</v>
      </c>
      <c r="BA19">
        <f t="shared" si="11"/>
        <v>0.778467808616976</v>
      </c>
    </row>
    <row r="20" spans="1:53">
      <c r="A20">
        <v>2000</v>
      </c>
      <c r="B20">
        <v>5.23574246175231</v>
      </c>
      <c r="C20">
        <v>0.703835197216406</v>
      </c>
      <c r="D20">
        <v>-0.070708092844335</v>
      </c>
      <c r="E20">
        <v>3.41711076921867</v>
      </c>
      <c r="F20">
        <v>0.73181976613451</v>
      </c>
      <c r="G20">
        <v>0.68687039728506</v>
      </c>
      <c r="H20">
        <f t="shared" si="0"/>
        <v>4.10398116650373</v>
      </c>
      <c r="I20">
        <f t="shared" si="1"/>
        <v>1.41869016341957</v>
      </c>
      <c r="K20">
        <v>9.70313761538472</v>
      </c>
      <c r="L20">
        <v>3.346245551312</v>
      </c>
      <c r="M20">
        <v>2.23510196849404</v>
      </c>
      <c r="N20">
        <v>2.09997554184085</v>
      </c>
      <c r="O20">
        <v>0.0734437581912842</v>
      </c>
      <c r="P20">
        <v>1.7504320440982</v>
      </c>
      <c r="Q20">
        <f t="shared" si="2"/>
        <v>3.85040758593905</v>
      </c>
      <c r="R20">
        <f t="shared" si="3"/>
        <v>1.82387580228948</v>
      </c>
      <c r="T20">
        <v>2.58776309999987</v>
      </c>
      <c r="U20">
        <v>-1.27731170493275</v>
      </c>
      <c r="V20">
        <v>0.0657564337392671</v>
      </c>
      <c r="W20">
        <v>3.01969062982557</v>
      </c>
      <c r="X20">
        <v>0.598343333606327</v>
      </c>
      <c r="Y20">
        <v>0.549651267825169</v>
      </c>
      <c r="Z20">
        <f t="shared" si="4"/>
        <v>3.56934189765074</v>
      </c>
      <c r="AA20">
        <f t="shared" si="5"/>
        <v>1.1479946014315</v>
      </c>
      <c r="AC20">
        <v>6.21423327878802</v>
      </c>
      <c r="AD20">
        <v>3.1947243855811</v>
      </c>
      <c r="AE20">
        <v>0.0716550593335209</v>
      </c>
      <c r="AF20">
        <v>0.955250676774021</v>
      </c>
      <c r="AG20">
        <v>-0.185121209940293</v>
      </c>
      <c r="AH20">
        <v>1.7809190429212</v>
      </c>
      <c r="AI20">
        <f t="shared" si="6"/>
        <v>2.73616971969522</v>
      </c>
      <c r="AJ20">
        <f t="shared" si="7"/>
        <v>1.59579783298091</v>
      </c>
      <c r="AL20">
        <v>3.87521458666674</v>
      </c>
      <c r="AM20">
        <v>2.82940119902308</v>
      </c>
      <c r="AN20">
        <v>-0.0763427546975853</v>
      </c>
      <c r="AO20">
        <v>0.331722262768374</v>
      </c>
      <c r="AP20">
        <v>0.95442917639611</v>
      </c>
      <c r="AQ20">
        <f t="shared" si="8"/>
        <v>0.878086421698525</v>
      </c>
      <c r="AR20">
        <f t="shared" si="9"/>
        <v>1.28615143916448</v>
      </c>
      <c r="AT20">
        <v>4.55662283030323</v>
      </c>
      <c r="AU20">
        <v>1.34285083986717</v>
      </c>
      <c r="AV20">
        <v>0.807278010397238</v>
      </c>
      <c r="AW20">
        <v>1.44734248748996</v>
      </c>
      <c r="AX20">
        <v>-0.030499488409502</v>
      </c>
      <c r="AY20">
        <v>1.35094966451932</v>
      </c>
      <c r="AZ20">
        <f t="shared" si="10"/>
        <v>2.79829215200928</v>
      </c>
      <c r="BA20">
        <f t="shared" si="11"/>
        <v>1.32045017610982</v>
      </c>
    </row>
    <row r="21" spans="1:53">
      <c r="A21">
        <v>2001</v>
      </c>
      <c r="B21">
        <v>5.81618411126634</v>
      </c>
      <c r="C21">
        <v>2.91410860950794</v>
      </c>
      <c r="D21">
        <v>-0.350911698914896</v>
      </c>
      <c r="E21">
        <v>2.04682194353285</v>
      </c>
      <c r="F21">
        <v>0.479336538427846</v>
      </c>
      <c r="G21">
        <v>1.08961534410937</v>
      </c>
      <c r="H21">
        <f t="shared" si="0"/>
        <v>3.13643728764222</v>
      </c>
      <c r="I21">
        <f t="shared" si="1"/>
        <v>1.56895188253722</v>
      </c>
      <c r="K21">
        <v>4.26158801538445</v>
      </c>
      <c r="L21">
        <v>2.68934351894707</v>
      </c>
      <c r="M21">
        <v>-0.827900993843645</v>
      </c>
      <c r="N21">
        <v>0.62730548754778</v>
      </c>
      <c r="O21">
        <v>-0.0556732063072685</v>
      </c>
      <c r="P21">
        <v>2.3092607401305</v>
      </c>
      <c r="Q21">
        <f t="shared" si="2"/>
        <v>2.93656622767828</v>
      </c>
      <c r="R21">
        <f t="shared" si="3"/>
        <v>2.25358753382323</v>
      </c>
      <c r="T21">
        <v>14.3936654000001</v>
      </c>
      <c r="U21">
        <v>5.90722883169878</v>
      </c>
      <c r="V21">
        <v>1.82295435869129</v>
      </c>
      <c r="W21">
        <v>4.8861347262554</v>
      </c>
      <c r="X21">
        <v>0.87993171261465</v>
      </c>
      <c r="Y21">
        <v>0.909193712081984</v>
      </c>
      <c r="Z21">
        <f t="shared" si="4"/>
        <v>5.79532843833738</v>
      </c>
      <c r="AA21">
        <f t="shared" si="5"/>
        <v>1.78912542469663</v>
      </c>
      <c r="AC21">
        <v>2.9507707787879</v>
      </c>
      <c r="AD21">
        <v>2.30548115767727</v>
      </c>
      <c r="AE21">
        <v>-1.97250090635748</v>
      </c>
      <c r="AF21">
        <v>0.196110358770319</v>
      </c>
      <c r="AG21">
        <v>-0.00878850472224172</v>
      </c>
      <c r="AH21">
        <v>2.26627920886341</v>
      </c>
      <c r="AI21">
        <f t="shared" si="6"/>
        <v>2.46238956763373</v>
      </c>
      <c r="AJ21">
        <f t="shared" si="7"/>
        <v>2.25749070414117</v>
      </c>
      <c r="AL21">
        <v>-0.13223131333325</v>
      </c>
      <c r="AM21">
        <v>2.72502289957134</v>
      </c>
      <c r="AN21">
        <v>-3.6291017919997</v>
      </c>
      <c r="AO21">
        <v>-0.614394198475209</v>
      </c>
      <c r="AP21">
        <v>1.26122714968593</v>
      </c>
      <c r="AQ21">
        <f t="shared" si="8"/>
        <v>-2.36787464231377</v>
      </c>
      <c r="AR21">
        <f t="shared" si="9"/>
        <v>0.646832951210721</v>
      </c>
      <c r="AT21">
        <v>4.33708483030318</v>
      </c>
      <c r="AU21">
        <v>0.774170043680159</v>
      </c>
      <c r="AV21">
        <v>0.282602010971224</v>
      </c>
      <c r="AW21">
        <v>1.5140768189869</v>
      </c>
      <c r="AX21">
        <v>0.011784637596628</v>
      </c>
      <c r="AY21">
        <v>1.8421094986156</v>
      </c>
      <c r="AZ21">
        <f t="shared" si="10"/>
        <v>3.3561863176025</v>
      </c>
      <c r="BA21">
        <f t="shared" si="11"/>
        <v>1.85389413621223</v>
      </c>
    </row>
    <row r="22" spans="1:53">
      <c r="A22">
        <v>2002</v>
      </c>
      <c r="B22">
        <v>-0.569299738817669</v>
      </c>
      <c r="C22">
        <v>-1.39947303150717</v>
      </c>
      <c r="D22">
        <v>-0.975612025000159</v>
      </c>
      <c r="E22">
        <v>0.496628044269651</v>
      </c>
      <c r="F22">
        <v>0.203214639218922</v>
      </c>
      <c r="G22">
        <v>1.47443447624951</v>
      </c>
      <c r="H22">
        <f t="shared" si="0"/>
        <v>1.97106252051916</v>
      </c>
      <c r="I22">
        <f t="shared" si="1"/>
        <v>1.67764911546843</v>
      </c>
      <c r="K22">
        <v>-8.12623898461544</v>
      </c>
      <c r="L22">
        <v>-4.55874628748262</v>
      </c>
      <c r="M22">
        <v>-3.97670861913438</v>
      </c>
      <c r="N22">
        <v>-0.832268961670928</v>
      </c>
      <c r="O22">
        <v>-0.175203867215705</v>
      </c>
      <c r="P22">
        <v>2.82978601406125</v>
      </c>
      <c r="Q22">
        <f t="shared" si="2"/>
        <v>1.99751705239032</v>
      </c>
      <c r="R22">
        <f t="shared" si="3"/>
        <v>2.65458214684554</v>
      </c>
      <c r="T22">
        <v>7.60257099999966</v>
      </c>
      <c r="U22">
        <v>-2.87121023103437</v>
      </c>
      <c r="V22">
        <v>2.27551337477733</v>
      </c>
      <c r="W22">
        <v>5.90509459073015</v>
      </c>
      <c r="X22">
        <v>1.12700539893056</v>
      </c>
      <c r="Y22">
        <v>1.26682879233857</v>
      </c>
      <c r="Z22">
        <f t="shared" si="4"/>
        <v>7.17192338306872</v>
      </c>
      <c r="AA22">
        <f t="shared" si="5"/>
        <v>2.39383419126913</v>
      </c>
      <c r="AC22">
        <v>-5.44398622121201</v>
      </c>
      <c r="AD22">
        <v>-4.37771684869896</v>
      </c>
      <c r="AE22">
        <v>-3.20864113044229</v>
      </c>
      <c r="AF22">
        <v>-0.503057303313176</v>
      </c>
      <c r="AG22">
        <v>0.164747579416048</v>
      </c>
      <c r="AH22">
        <v>2.73936440095709</v>
      </c>
      <c r="AI22">
        <f t="shared" si="6"/>
        <v>2.23630709764391</v>
      </c>
      <c r="AJ22">
        <f t="shared" si="7"/>
        <v>2.90411198037314</v>
      </c>
      <c r="AL22">
        <v>-8.94077021333329</v>
      </c>
      <c r="AM22">
        <v>-3.50248677328176</v>
      </c>
      <c r="AN22">
        <v>-5.79725564320338</v>
      </c>
      <c r="AO22">
        <v>-1.36337225456808</v>
      </c>
      <c r="AP22">
        <v>1.57895997031325</v>
      </c>
      <c r="AQ22">
        <f t="shared" si="8"/>
        <v>-4.21829567289013</v>
      </c>
      <c r="AR22">
        <f t="shared" si="9"/>
        <v>0.21558771574517</v>
      </c>
      <c r="AT22">
        <v>2.14165323030318</v>
      </c>
      <c r="AU22">
        <v>-1.28676313898348</v>
      </c>
      <c r="AV22">
        <v>-0.703352388301157</v>
      </c>
      <c r="AW22">
        <v>1.38792009320938</v>
      </c>
      <c r="AX22">
        <v>0.0486947359711403</v>
      </c>
      <c r="AY22">
        <v>2.32828040632379</v>
      </c>
      <c r="AZ22">
        <f t="shared" si="10"/>
        <v>3.71620049953317</v>
      </c>
      <c r="BA22">
        <f t="shared" si="11"/>
        <v>2.37697514229493</v>
      </c>
    </row>
    <row r="23" spans="1:53">
      <c r="A23">
        <v>2003</v>
      </c>
      <c r="B23">
        <v>-0.553323118458695</v>
      </c>
      <c r="C23">
        <v>-0.061630608175684</v>
      </c>
      <c r="D23">
        <v>-1.58294270552236</v>
      </c>
      <c r="E23">
        <v>-0.884363140316039</v>
      </c>
      <c r="F23">
        <v>-0.0863350652224488</v>
      </c>
      <c r="G23">
        <v>1.84132252585786</v>
      </c>
      <c r="H23">
        <f t="shared" si="0"/>
        <v>0.956959385541821</v>
      </c>
      <c r="I23">
        <f t="shared" si="1"/>
        <v>1.75498746063541</v>
      </c>
      <c r="K23">
        <v>-3.9495709846156</v>
      </c>
      <c r="L23">
        <v>-1.05048352005246</v>
      </c>
      <c r="M23">
        <v>-3.71989583083498</v>
      </c>
      <c r="N23">
        <v>-1.92645291305345</v>
      </c>
      <c r="O23">
        <v>-0.276923676412185</v>
      </c>
      <c r="P23">
        <v>3.31190376414299</v>
      </c>
      <c r="Q23">
        <f t="shared" si="2"/>
        <v>1.38545085108954</v>
      </c>
      <c r="R23">
        <f t="shared" si="3"/>
        <v>3.0349800877308</v>
      </c>
      <c r="T23">
        <v>9.99994179999955</v>
      </c>
      <c r="U23">
        <v>-0.296955255220038</v>
      </c>
      <c r="V23">
        <v>1.67062280605867</v>
      </c>
      <c r="W23">
        <v>5.89939469106469</v>
      </c>
      <c r="X23">
        <v>1.33036773651725</v>
      </c>
      <c r="Y23">
        <v>1.62250095562793</v>
      </c>
      <c r="Z23">
        <f t="shared" si="4"/>
        <v>7.52189564669262</v>
      </c>
      <c r="AA23">
        <f t="shared" si="5"/>
        <v>2.95286869214518</v>
      </c>
      <c r="AC23">
        <v>0.342765678787934</v>
      </c>
      <c r="AD23">
        <v>-0.341285997057959</v>
      </c>
      <c r="AE23">
        <v>-2.27481925327831</v>
      </c>
      <c r="AF23">
        <v>-0.904233343352178</v>
      </c>
      <c r="AG23">
        <v>0.328165436895478</v>
      </c>
      <c r="AH23">
        <v>3.2001636795933</v>
      </c>
      <c r="AI23">
        <f t="shared" si="6"/>
        <v>2.29593033624112</v>
      </c>
      <c r="AJ23">
        <f t="shared" si="7"/>
        <v>3.52832911648878</v>
      </c>
      <c r="AL23">
        <v>-5.95038511333326</v>
      </c>
      <c r="AM23">
        <v>-1.13337955844372</v>
      </c>
      <c r="AN23">
        <v>-3.972087840049</v>
      </c>
      <c r="AO23">
        <v>-1.76697532422279</v>
      </c>
      <c r="AP23">
        <v>1.90907466559959</v>
      </c>
      <c r="AQ23">
        <f t="shared" si="8"/>
        <v>-2.06301317444941</v>
      </c>
      <c r="AR23">
        <f t="shared" si="9"/>
        <v>0.1420993413768</v>
      </c>
      <c r="AT23">
        <v>1.22671303030325</v>
      </c>
      <c r="AU23">
        <v>-2.72018450148794</v>
      </c>
      <c r="AV23">
        <v>-1.0575219060317</v>
      </c>
      <c r="AW23">
        <v>1.11346031466731</v>
      </c>
      <c r="AX23">
        <v>0.0787192798245153</v>
      </c>
      <c r="AY23">
        <v>2.80945050116799</v>
      </c>
      <c r="AZ23">
        <f t="shared" si="10"/>
        <v>3.9229108158353</v>
      </c>
      <c r="BA23">
        <f t="shared" si="11"/>
        <v>2.88816978099251</v>
      </c>
    </row>
    <row r="24" spans="1:53">
      <c r="A24">
        <v>2004</v>
      </c>
      <c r="B24">
        <v>-1.43556440392674</v>
      </c>
      <c r="C24">
        <v>-0.207656240083782</v>
      </c>
      <c r="D24">
        <v>-0.958396617951338</v>
      </c>
      <c r="E24">
        <v>-1.87799986237566</v>
      </c>
      <c r="F24">
        <v>-0.376990359654947</v>
      </c>
      <c r="G24">
        <v>2.19027422508677</v>
      </c>
      <c r="H24">
        <f t="shared" si="0"/>
        <v>0.31227436271111</v>
      </c>
      <c r="I24">
        <f t="shared" si="1"/>
        <v>1.81328386543182</v>
      </c>
      <c r="K24">
        <v>4.71523911538459</v>
      </c>
      <c r="L24">
        <v>4.38178863038701</v>
      </c>
      <c r="M24">
        <v>-0.217713456684483</v>
      </c>
      <c r="N24">
        <v>-2.48453355345429</v>
      </c>
      <c r="O24">
        <v>-0.355521266745498</v>
      </c>
      <c r="P24">
        <v>3.75550988862826</v>
      </c>
      <c r="Q24">
        <f t="shared" si="2"/>
        <v>1.27097633517397</v>
      </c>
      <c r="R24">
        <f t="shared" si="3"/>
        <v>3.39998862188276</v>
      </c>
      <c r="T24">
        <v>10.0950165999997</v>
      </c>
      <c r="U24">
        <v>0.877277860437264</v>
      </c>
      <c r="V24">
        <v>1.26011749137106</v>
      </c>
      <c r="W24">
        <v>4.94020576100297</v>
      </c>
      <c r="X24">
        <v>1.48484212079885</v>
      </c>
      <c r="Y24">
        <v>1.97615464898306</v>
      </c>
      <c r="Z24">
        <f t="shared" si="4"/>
        <v>6.91636040998603</v>
      </c>
      <c r="AA24">
        <f t="shared" si="5"/>
        <v>3.46099676978191</v>
      </c>
      <c r="AC24">
        <v>6.50614347878799</v>
      </c>
      <c r="AD24">
        <v>3.56544203433021</v>
      </c>
      <c r="AE24">
        <v>-0.0555468994463715</v>
      </c>
      <c r="AF24">
        <v>-0.915137483631838</v>
      </c>
      <c r="AG24">
        <v>0.475082701836585</v>
      </c>
      <c r="AH24">
        <v>3.64866610516311</v>
      </c>
      <c r="AI24">
        <f t="shared" si="6"/>
        <v>2.73352862153127</v>
      </c>
      <c r="AJ24">
        <f t="shared" si="7"/>
        <v>4.1237488069997</v>
      </c>
      <c r="AL24">
        <v>3.84115628666666</v>
      </c>
      <c r="AM24">
        <v>1.56999519974227</v>
      </c>
      <c r="AN24">
        <v>0.971669377204915</v>
      </c>
      <c r="AO24">
        <v>-1.85206525952358</v>
      </c>
      <c r="AP24">
        <v>2.25286602975596</v>
      </c>
      <c r="AQ24">
        <f t="shared" si="8"/>
        <v>3.22453540696087</v>
      </c>
      <c r="AR24">
        <f t="shared" si="9"/>
        <v>0.40080077023238</v>
      </c>
      <c r="AT24">
        <v>5.59437143030323</v>
      </c>
      <c r="AU24">
        <v>2.61614851566307</v>
      </c>
      <c r="AV24">
        <v>-0.51771347400471</v>
      </c>
      <c r="AW24">
        <v>0.767930197748663</v>
      </c>
      <c r="AX24">
        <v>0.101143086957918</v>
      </c>
      <c r="AY24">
        <v>3.28560789667228</v>
      </c>
      <c r="AZ24">
        <f t="shared" si="10"/>
        <v>4.05353809442094</v>
      </c>
      <c r="BA24">
        <f t="shared" si="11"/>
        <v>3.3867509836302</v>
      </c>
    </row>
    <row r="25" spans="1:53">
      <c r="A25">
        <v>2005</v>
      </c>
      <c r="B25">
        <v>-1.6521805696148</v>
      </c>
      <c r="C25">
        <v>-2.01618709660883</v>
      </c>
      <c r="D25">
        <v>0.824323441852229</v>
      </c>
      <c r="E25">
        <v>-2.40708316439771</v>
      </c>
      <c r="F25">
        <v>-0.655497120396347</v>
      </c>
      <c r="G25">
        <v>2.52128430608863</v>
      </c>
      <c r="H25">
        <f t="shared" si="0"/>
        <v>0.11420114169092</v>
      </c>
      <c r="I25">
        <f t="shared" si="1"/>
        <v>1.86578718569228</v>
      </c>
      <c r="K25">
        <v>0.0399880153845518</v>
      </c>
      <c r="L25">
        <v>-3.9136929760876</v>
      </c>
      <c r="M25">
        <v>2.82028319485315</v>
      </c>
      <c r="N25">
        <v>-2.50803468695009</v>
      </c>
      <c r="O25">
        <v>-0.407602949724236</v>
      </c>
      <c r="P25">
        <v>4.16049864390117</v>
      </c>
      <c r="Q25">
        <f t="shared" si="2"/>
        <v>1.65246395695108</v>
      </c>
      <c r="R25">
        <f t="shared" si="3"/>
        <v>3.75289569417693</v>
      </c>
      <c r="T25">
        <v>5.94693429999991</v>
      </c>
      <c r="U25">
        <v>-1.76834282761626</v>
      </c>
      <c r="V25">
        <v>0.664728399720406</v>
      </c>
      <c r="W25">
        <v>3.30843051469094</v>
      </c>
      <c r="X25">
        <v>1.58877357602119</v>
      </c>
      <c r="Y25">
        <v>2.32773431943695</v>
      </c>
      <c r="Z25">
        <f t="shared" si="4"/>
        <v>5.63616483412789</v>
      </c>
      <c r="AA25">
        <f t="shared" si="5"/>
        <v>3.91650789545814</v>
      </c>
      <c r="AC25">
        <v>2.83947677878786</v>
      </c>
      <c r="AD25">
        <v>-2.29050422398694</v>
      </c>
      <c r="AE25">
        <v>1.46176979415537</v>
      </c>
      <c r="AF25">
        <v>-0.608942349353711</v>
      </c>
      <c r="AG25">
        <v>0.600158159637112</v>
      </c>
      <c r="AH25">
        <v>4.08486073805756</v>
      </c>
      <c r="AI25">
        <f t="shared" si="6"/>
        <v>3.47591838870385</v>
      </c>
      <c r="AJ25">
        <f t="shared" si="7"/>
        <v>4.68501889769467</v>
      </c>
      <c r="AL25">
        <v>6.49792898666668</v>
      </c>
      <c r="AM25">
        <v>1.89541849439247</v>
      </c>
      <c r="AN25">
        <v>4.80617422076343</v>
      </c>
      <c r="AO25">
        <v>-1.73255746260952</v>
      </c>
      <c r="AP25">
        <v>2.61165596793487</v>
      </c>
      <c r="AQ25">
        <f t="shared" si="8"/>
        <v>7.4178301886983</v>
      </c>
      <c r="AR25">
        <f t="shared" si="9"/>
        <v>0.87909850532535</v>
      </c>
      <c r="AT25">
        <v>5.62602053030321</v>
      </c>
      <c r="AU25">
        <v>0.779549476322307</v>
      </c>
      <c r="AV25">
        <v>0.0456272268599887</v>
      </c>
      <c r="AW25">
        <v>0.418258276847396</v>
      </c>
      <c r="AX25">
        <v>0.115797255864444</v>
      </c>
      <c r="AY25">
        <v>3.75674070636076</v>
      </c>
      <c r="AZ25">
        <f t="shared" si="10"/>
        <v>4.17499898320816</v>
      </c>
      <c r="BA25">
        <f t="shared" si="11"/>
        <v>3.8725379622252</v>
      </c>
    </row>
    <row r="26" spans="1:53">
      <c r="A26">
        <v>2006</v>
      </c>
      <c r="B26">
        <v>4.59800030509134</v>
      </c>
      <c r="C26">
        <v>3.8476369219407</v>
      </c>
      <c r="D26">
        <v>1.58393947763398</v>
      </c>
      <c r="E26">
        <v>-2.50637173109328</v>
      </c>
      <c r="F26">
        <v>-0.909577384214237</v>
      </c>
      <c r="G26">
        <v>2.83434750101582</v>
      </c>
      <c r="H26">
        <f t="shared" si="0"/>
        <v>0.32797576992254</v>
      </c>
      <c r="I26">
        <f t="shared" si="1"/>
        <v>1.92477011680158</v>
      </c>
      <c r="K26">
        <v>7.67362691538447</v>
      </c>
      <c r="L26">
        <v>3.40870028389461</v>
      </c>
      <c r="M26">
        <v>2.71396983441292</v>
      </c>
      <c r="N26">
        <v>-2.11949074167976</v>
      </c>
      <c r="O26">
        <v>-0.431244295244232</v>
      </c>
      <c r="P26">
        <v>4.52675771887199</v>
      </c>
      <c r="Q26">
        <f t="shared" si="2"/>
        <v>2.40726697719223</v>
      </c>
      <c r="R26">
        <f t="shared" si="3"/>
        <v>4.09551342362776</v>
      </c>
      <c r="T26">
        <v>8.49392269999972</v>
      </c>
      <c r="U26">
        <v>3.79463465628666</v>
      </c>
      <c r="V26">
        <v>-1.34104836158236</v>
      </c>
      <c r="W26">
        <v>1.38933588859398</v>
      </c>
      <c r="X26">
        <v>1.64240033881277</v>
      </c>
      <c r="Y26">
        <v>2.6771844140226</v>
      </c>
      <c r="Z26">
        <f t="shared" si="4"/>
        <v>4.06652030261658</v>
      </c>
      <c r="AA26">
        <f t="shared" si="5"/>
        <v>4.31958475283537</v>
      </c>
      <c r="AC26">
        <v>6.57524847878792</v>
      </c>
      <c r="AD26">
        <v>0.219802876376336</v>
      </c>
      <c r="AE26">
        <v>1.64704606844008</v>
      </c>
      <c r="AF26">
        <v>-0.138018947939519</v>
      </c>
      <c r="AG26">
        <v>0.69810628049782</v>
      </c>
      <c r="AH26">
        <v>4.50873663866774</v>
      </c>
      <c r="AI26">
        <f t="shared" si="6"/>
        <v>4.37071769072822</v>
      </c>
      <c r="AJ26">
        <f t="shared" si="7"/>
        <v>5.20684291916556</v>
      </c>
      <c r="AL26">
        <v>6.48617168666669</v>
      </c>
      <c r="AM26">
        <v>1.17560131413789</v>
      </c>
      <c r="AN26">
        <v>4.9033437929117</v>
      </c>
      <c r="AO26">
        <v>-1.50984995327113</v>
      </c>
      <c r="AP26">
        <v>2.98676638528883</v>
      </c>
      <c r="AQ26">
        <f t="shared" si="8"/>
        <v>7.89011017820053</v>
      </c>
      <c r="AR26">
        <f t="shared" si="9"/>
        <v>1.4769164320177</v>
      </c>
      <c r="AT26">
        <v>4.18872553030326</v>
      </c>
      <c r="AU26">
        <v>-2.02409776742867</v>
      </c>
      <c r="AV26">
        <v>0.379063066375534</v>
      </c>
      <c r="AW26">
        <v>0.101507091115329</v>
      </c>
      <c r="AX26">
        <v>0.122909910255914</v>
      </c>
      <c r="AY26">
        <v>4.22283704375751</v>
      </c>
      <c r="AZ26">
        <f t="shared" si="10"/>
        <v>4.32434413487284</v>
      </c>
      <c r="BA26">
        <f t="shared" si="11"/>
        <v>4.34574695401342</v>
      </c>
    </row>
    <row r="27" spans="1:53">
      <c r="A27">
        <v>2007</v>
      </c>
      <c r="B27">
        <v>1.05999776869929</v>
      </c>
      <c r="C27">
        <v>2.18718377810541</v>
      </c>
      <c r="D27">
        <v>-0.155791151902518</v>
      </c>
      <c r="E27">
        <v>-2.2714540262714</v>
      </c>
      <c r="F27">
        <v>-1.12934319656229</v>
      </c>
      <c r="G27">
        <v>3.12945854202068</v>
      </c>
      <c r="H27">
        <f t="shared" si="0"/>
        <v>0.85800451574928</v>
      </c>
      <c r="I27">
        <f t="shared" si="1"/>
        <v>2.00011534545839</v>
      </c>
      <c r="K27">
        <v>4.15117311538457</v>
      </c>
      <c r="L27">
        <v>1.76660243908634</v>
      </c>
      <c r="M27">
        <v>-0.512592831553735</v>
      </c>
      <c r="N27">
        <v>-1.46666554983641</v>
      </c>
      <c r="O27">
        <v>-0.42779341719001</v>
      </c>
      <c r="P27">
        <v>4.8541731605826</v>
      </c>
      <c r="Q27">
        <f t="shared" si="2"/>
        <v>3.38750761074619</v>
      </c>
      <c r="R27">
        <f t="shared" si="3"/>
        <v>4.42637974339259</v>
      </c>
      <c r="T27">
        <v>-0.471157100000135</v>
      </c>
      <c r="U27">
        <v>-0.4442467621407</v>
      </c>
      <c r="V27">
        <v>-4.09838737637529</v>
      </c>
      <c r="W27">
        <v>-0.450417355247713</v>
      </c>
      <c r="X27">
        <v>1.64726460572799</v>
      </c>
      <c r="Y27">
        <v>3.02444937977301</v>
      </c>
      <c r="Z27">
        <f t="shared" si="4"/>
        <v>2.5740320245253</v>
      </c>
      <c r="AA27">
        <f t="shared" si="5"/>
        <v>4.671713985501</v>
      </c>
      <c r="AC27">
        <v>9.94988727878804</v>
      </c>
      <c r="AD27">
        <v>3.62449336654514</v>
      </c>
      <c r="AE27">
        <v>0.698387725576978</v>
      </c>
      <c r="AF27">
        <v>0.353019280958642</v>
      </c>
      <c r="AG27">
        <v>0.763368746475604</v>
      </c>
      <c r="AH27">
        <v>4.92028286738471</v>
      </c>
      <c r="AI27">
        <f t="shared" si="6"/>
        <v>5.27330214834335</v>
      </c>
      <c r="AJ27">
        <f t="shared" si="7"/>
        <v>5.68365161386031</v>
      </c>
      <c r="AL27">
        <v>3.86383088666673</v>
      </c>
      <c r="AM27">
        <v>-1.46412351303015</v>
      </c>
      <c r="AN27">
        <v>2.25669106546002</v>
      </c>
      <c r="AO27">
        <v>-1.20632042993777</v>
      </c>
      <c r="AP27">
        <v>3.37951918697037</v>
      </c>
      <c r="AQ27">
        <f t="shared" si="8"/>
        <v>5.63621025243039</v>
      </c>
      <c r="AR27">
        <f t="shared" si="9"/>
        <v>2.1731987570326</v>
      </c>
      <c r="AT27">
        <v>5.47331843030328</v>
      </c>
      <c r="AU27">
        <v>0.505587034003017</v>
      </c>
      <c r="AV27">
        <v>0.864720638048921</v>
      </c>
      <c r="AW27">
        <v>-0.166708138323731</v>
      </c>
      <c r="AX27">
        <v>0.123075528870308</v>
      </c>
      <c r="AY27">
        <v>4.68388502238662</v>
      </c>
      <c r="AZ27">
        <f t="shared" si="10"/>
        <v>4.51717688406289</v>
      </c>
      <c r="BA27">
        <f t="shared" si="11"/>
        <v>4.80696055125693</v>
      </c>
    </row>
    <row r="28" spans="1:53">
      <c r="A28">
        <v>2008</v>
      </c>
      <c r="B28">
        <v>-6.80957860081283</v>
      </c>
      <c r="C28">
        <v>-4.8799027432649</v>
      </c>
      <c r="D28">
        <v>-2.01886576583154</v>
      </c>
      <c r="E28">
        <v>-1.81537095907638</v>
      </c>
      <c r="F28">
        <v>-1.30778626973407</v>
      </c>
      <c r="G28">
        <v>3.40661216125561</v>
      </c>
      <c r="H28">
        <f t="shared" si="0"/>
        <v>1.59124120217923</v>
      </c>
      <c r="I28">
        <f t="shared" si="1"/>
        <v>2.09882589152154</v>
      </c>
      <c r="K28">
        <v>-2.78463728461555</v>
      </c>
      <c r="L28">
        <v>-4.25276313297456</v>
      </c>
      <c r="M28">
        <v>-2.87671592246652</v>
      </c>
      <c r="N28">
        <v>-0.667066556747781</v>
      </c>
      <c r="O28">
        <v>-0.400766919356183</v>
      </c>
      <c r="P28">
        <v>5.14263101607481</v>
      </c>
      <c r="Q28">
        <f t="shared" si="2"/>
        <v>4.47556445932703</v>
      </c>
      <c r="R28">
        <f t="shared" si="3"/>
        <v>4.74186409671863</v>
      </c>
      <c r="T28">
        <v>-5.87253340000016</v>
      </c>
      <c r="U28">
        <v>-4.02975603992104</v>
      </c>
      <c r="V28">
        <v>-4.47956349013037</v>
      </c>
      <c r="W28">
        <v>-1.95530439157059</v>
      </c>
      <c r="X28">
        <v>1.60538006562114</v>
      </c>
      <c r="Y28">
        <v>3.36947366372118</v>
      </c>
      <c r="Z28">
        <f t="shared" si="4"/>
        <v>1.41416927215059</v>
      </c>
      <c r="AA28">
        <f t="shared" si="5"/>
        <v>4.97485372934232</v>
      </c>
      <c r="AC28">
        <v>3.240659878788</v>
      </c>
      <c r="AD28">
        <v>-3.48950394197844</v>
      </c>
      <c r="AE28">
        <v>-0.240375282664989</v>
      </c>
      <c r="AF28">
        <v>0.764355107282146</v>
      </c>
      <c r="AG28">
        <v>0.790323640512657</v>
      </c>
      <c r="AH28">
        <v>5.31948848459952</v>
      </c>
      <c r="AI28">
        <f t="shared" si="6"/>
        <v>6.08384359188167</v>
      </c>
      <c r="AJ28">
        <f t="shared" si="7"/>
        <v>6.10981212511218</v>
      </c>
      <c r="AL28">
        <v>-0.897207413333261</v>
      </c>
      <c r="AM28">
        <v>-2.64560929960307</v>
      </c>
      <c r="AN28">
        <v>-0.527144682913234</v>
      </c>
      <c r="AO28">
        <v>-0.795954331748598</v>
      </c>
      <c r="AP28">
        <v>3.79123627813199</v>
      </c>
      <c r="AQ28">
        <f t="shared" si="8"/>
        <v>3.26409159521876</v>
      </c>
      <c r="AR28">
        <f t="shared" si="9"/>
        <v>2.99528194638339</v>
      </c>
      <c r="AT28">
        <v>7.64725593030323</v>
      </c>
      <c r="AU28">
        <v>1.4030847804806</v>
      </c>
      <c r="AV28">
        <v>1.22860805140378</v>
      </c>
      <c r="AW28">
        <v>-0.390244855506056</v>
      </c>
      <c r="AX28">
        <v>0.11696445169825</v>
      </c>
      <c r="AY28">
        <v>5.13987275577218</v>
      </c>
      <c r="AZ28">
        <f t="shared" si="10"/>
        <v>4.74962790026612</v>
      </c>
      <c r="BA28">
        <f t="shared" si="11"/>
        <v>5.25683720747043</v>
      </c>
    </row>
    <row r="29" spans="1:53">
      <c r="A29">
        <v>2009</v>
      </c>
      <c r="B29">
        <v>-3.19325499501274</v>
      </c>
      <c r="C29">
        <v>-3.14706086151177</v>
      </c>
      <c r="D29">
        <v>-0.820187334955356</v>
      </c>
      <c r="E29">
        <v>-1.23860444072289</v>
      </c>
      <c r="F29">
        <v>-1.44090936018926</v>
      </c>
      <c r="G29">
        <v>3.66580309087296</v>
      </c>
      <c r="H29">
        <f t="shared" si="0"/>
        <v>2.42719865015007</v>
      </c>
      <c r="I29">
        <f t="shared" si="1"/>
        <v>2.2248937306837</v>
      </c>
      <c r="K29">
        <v>0.444364315384524</v>
      </c>
      <c r="L29">
        <v>-4.20726609803418</v>
      </c>
      <c r="M29">
        <v>-0.532891712429954</v>
      </c>
      <c r="N29">
        <v>0.166533060335303</v>
      </c>
      <c r="O29">
        <v>-0.354954861695224</v>
      </c>
      <c r="P29">
        <v>5.3920173323905</v>
      </c>
      <c r="Q29">
        <f t="shared" si="2"/>
        <v>5.5585503927258</v>
      </c>
      <c r="R29">
        <f t="shared" si="3"/>
        <v>5.03706247069528</v>
      </c>
      <c r="T29">
        <v>0.40686489999984</v>
      </c>
      <c r="U29">
        <v>-1.11351339757648</v>
      </c>
      <c r="V29">
        <v>-0.924719878939938</v>
      </c>
      <c r="W29">
        <v>-3.00566059770182</v>
      </c>
      <c r="X29">
        <v>1.51902403788194</v>
      </c>
      <c r="Y29">
        <v>3.7122017129001</v>
      </c>
      <c r="Z29">
        <f t="shared" si="4"/>
        <v>0.70654111519828</v>
      </c>
      <c r="AA29">
        <f t="shared" si="5"/>
        <v>5.23122575078204</v>
      </c>
      <c r="AC29">
        <v>4.52449887878789</v>
      </c>
      <c r="AD29">
        <v>-3.00632242478205</v>
      </c>
      <c r="AE29">
        <v>0.247720253889852</v>
      </c>
      <c r="AF29">
        <v>1.03156157926895</v>
      </c>
      <c r="AG29">
        <v>0.773348214324334</v>
      </c>
      <c r="AH29">
        <v>5.70634255070326</v>
      </c>
      <c r="AI29">
        <f t="shared" si="6"/>
        <v>6.73790412997221</v>
      </c>
      <c r="AJ29">
        <f t="shared" si="7"/>
        <v>6.47969076502759</v>
      </c>
      <c r="AL29">
        <v>-1.0869884133333</v>
      </c>
      <c r="AM29">
        <v>-3.6154028490427</v>
      </c>
      <c r="AN29">
        <v>-1.55752666767383</v>
      </c>
      <c r="AO29">
        <v>-0.256634954036273</v>
      </c>
      <c r="AP29">
        <v>4.22323956392621</v>
      </c>
      <c r="AQ29">
        <f t="shared" si="8"/>
        <v>2.66571289625238</v>
      </c>
      <c r="AR29">
        <f t="shared" si="9"/>
        <v>3.96660460988994</v>
      </c>
      <c r="AT29">
        <v>5.23600663030323</v>
      </c>
      <c r="AU29">
        <v>-0.55842881550341</v>
      </c>
      <c r="AV29">
        <v>0.752562671631224</v>
      </c>
      <c r="AW29">
        <v>-0.570354583982758</v>
      </c>
      <c r="AX29">
        <v>0.105247018730364</v>
      </c>
      <c r="AY29">
        <v>5.59078835743829</v>
      </c>
      <c r="AZ29">
        <f t="shared" si="10"/>
        <v>5.02043377345553</v>
      </c>
      <c r="BA29">
        <f t="shared" si="11"/>
        <v>5.69603537616865</v>
      </c>
    </row>
    <row r="30" spans="1:53">
      <c r="A30">
        <v>2010</v>
      </c>
      <c r="B30">
        <v>9.15981293772332</v>
      </c>
      <c r="C30">
        <v>4.89041203956377</v>
      </c>
      <c r="D30">
        <v>2.16212111956314</v>
      </c>
      <c r="E30">
        <v>-0.648444245419154</v>
      </c>
      <c r="F30">
        <v>-1.5264941582699</v>
      </c>
      <c r="G30">
        <v>3.90702606302511</v>
      </c>
      <c r="H30">
        <f t="shared" si="0"/>
        <v>3.25858181760596</v>
      </c>
      <c r="I30">
        <f t="shared" si="1"/>
        <v>2.38053190475521</v>
      </c>
      <c r="K30">
        <v>15.9989789153842</v>
      </c>
      <c r="L30">
        <v>6.65988778077331</v>
      </c>
      <c r="M30">
        <v>3.25325701565087</v>
      </c>
      <c r="N30">
        <v>0.948108250440083</v>
      </c>
      <c r="O30">
        <v>-0.295699622586907</v>
      </c>
      <c r="P30">
        <v>5.60221815657151</v>
      </c>
      <c r="Q30">
        <f t="shared" si="2"/>
        <v>6.55032640701159</v>
      </c>
      <c r="R30">
        <f t="shared" si="3"/>
        <v>5.3065185339846</v>
      </c>
      <c r="T30">
        <v>10.3814270999996</v>
      </c>
      <c r="U30">
        <v>5.51751238809735</v>
      </c>
      <c r="V30">
        <v>3.2665345572005</v>
      </c>
      <c r="W30">
        <v>-3.61673326289203</v>
      </c>
      <c r="X30">
        <v>1.39054661798829</v>
      </c>
      <c r="Y30">
        <v>4.05257797434277</v>
      </c>
      <c r="Z30">
        <f t="shared" si="4"/>
        <v>0.43584471145074</v>
      </c>
      <c r="AA30">
        <f t="shared" si="5"/>
        <v>5.44312459233106</v>
      </c>
      <c r="AC30">
        <v>15.2489655787881</v>
      </c>
      <c r="AD30">
        <v>5.97099534057026</v>
      </c>
      <c r="AE30">
        <v>1.25750314688197</v>
      </c>
      <c r="AF30">
        <v>1.10584033791022</v>
      </c>
      <c r="AG30">
        <v>0.706819719625987</v>
      </c>
      <c r="AH30">
        <v>6.08083412608698</v>
      </c>
      <c r="AI30">
        <f t="shared" si="6"/>
        <v>7.1866744639972</v>
      </c>
      <c r="AJ30">
        <f t="shared" si="7"/>
        <v>6.78765384571297</v>
      </c>
      <c r="AL30">
        <v>10.7950316866667</v>
      </c>
      <c r="AM30">
        <v>7.73445919453256</v>
      </c>
      <c r="AN30">
        <v>-1.16114895557458</v>
      </c>
      <c r="AO30">
        <v>0.430627518180467</v>
      </c>
      <c r="AP30">
        <v>4.67685094950554</v>
      </c>
      <c r="AQ30">
        <f t="shared" si="8"/>
        <v>3.51570199393096</v>
      </c>
      <c r="AR30">
        <f t="shared" si="9"/>
        <v>5.10747846768601</v>
      </c>
      <c r="AT30">
        <v>3.65316143030315</v>
      </c>
      <c r="AU30">
        <v>-1.16198378911518</v>
      </c>
      <c r="AV30">
        <v>-0.333773171935058</v>
      </c>
      <c r="AW30">
        <v>-0.698702880171793</v>
      </c>
      <c r="AX30">
        <v>0.0885935699572729</v>
      </c>
      <c r="AY30">
        <v>6.03661994090902</v>
      </c>
      <c r="AZ30">
        <f t="shared" si="10"/>
        <v>5.33791706073723</v>
      </c>
      <c r="BA30">
        <f t="shared" si="11"/>
        <v>6.12521351086629</v>
      </c>
    </row>
    <row r="31" spans="1:53">
      <c r="A31">
        <v>2011</v>
      </c>
      <c r="B31">
        <v>6.69220307643241</v>
      </c>
      <c r="C31">
        <v>1.39884491386545</v>
      </c>
      <c r="D31">
        <v>2.74938457320943</v>
      </c>
      <c r="E31">
        <v>-0.121047190039435</v>
      </c>
      <c r="F31">
        <v>-1.56334013233524</v>
      </c>
      <c r="G31">
        <v>4.13027580986443</v>
      </c>
      <c r="H31">
        <f t="shared" si="0"/>
        <v>4.009228619825</v>
      </c>
      <c r="I31">
        <f t="shared" si="1"/>
        <v>2.56693567752919</v>
      </c>
      <c r="K31">
        <v>12.3054803153843</v>
      </c>
      <c r="L31">
        <v>2.08672775040241</v>
      </c>
      <c r="M31">
        <v>2.59943055521599</v>
      </c>
      <c r="N31">
        <v>1.61953334981965</v>
      </c>
      <c r="O31">
        <v>-0.228672103451629</v>
      </c>
      <c r="P31">
        <v>5.77311953565967</v>
      </c>
      <c r="Q31">
        <f t="shared" si="2"/>
        <v>7.39265288547932</v>
      </c>
      <c r="R31">
        <f t="shared" si="3"/>
        <v>5.54444743220804</v>
      </c>
      <c r="T31">
        <v>6.40232429999966</v>
      </c>
      <c r="U31">
        <v>-0.482588775068988</v>
      </c>
      <c r="V31">
        <v>4.14802870228321</v>
      </c>
      <c r="W31">
        <v>-3.84153827352794</v>
      </c>
      <c r="X31">
        <v>1.22222358747522</v>
      </c>
      <c r="Y31">
        <v>4.39054689508219</v>
      </c>
      <c r="Z31">
        <f t="shared" si="4"/>
        <v>0.54900862155425</v>
      </c>
      <c r="AA31">
        <f t="shared" si="5"/>
        <v>5.61277048255741</v>
      </c>
      <c r="AC31">
        <v>9.47045337878783</v>
      </c>
      <c r="AD31">
        <v>0.411885591011811</v>
      </c>
      <c r="AE31">
        <v>1.00975152912706</v>
      </c>
      <c r="AF31">
        <v>0.944319039566899</v>
      </c>
      <c r="AG31">
        <v>0.585115408132971</v>
      </c>
      <c r="AH31">
        <v>6.44295227114175</v>
      </c>
      <c r="AI31">
        <f t="shared" si="6"/>
        <v>7.38727131070865</v>
      </c>
      <c r="AJ31">
        <f t="shared" si="7"/>
        <v>7.02806767927472</v>
      </c>
      <c r="AL31">
        <v>6.39039738666667</v>
      </c>
      <c r="AM31">
        <v>-0.477454420654903</v>
      </c>
      <c r="AN31">
        <v>-0.191970552807314</v>
      </c>
      <c r="AO31">
        <v>1.28482289988289</v>
      </c>
      <c r="AP31">
        <v>5.15339234002251</v>
      </c>
      <c r="AQ31">
        <f t="shared" si="8"/>
        <v>4.9614217872152</v>
      </c>
      <c r="AR31">
        <f t="shared" si="9"/>
        <v>6.4382152399054</v>
      </c>
      <c r="AT31">
        <v>5.41872273030321</v>
      </c>
      <c r="AU31">
        <v>0.566375400393591</v>
      </c>
      <c r="AV31">
        <v>-1.08114900114772</v>
      </c>
      <c r="AW31">
        <v>-0.767176888458083</v>
      </c>
      <c r="AX31">
        <v>0.0676744453696016</v>
      </c>
      <c r="AY31">
        <v>6.47735561970847</v>
      </c>
      <c r="AZ31">
        <f t="shared" si="10"/>
        <v>5.71017873125039</v>
      </c>
      <c r="BA31">
        <f t="shared" si="11"/>
        <v>6.54503006507807</v>
      </c>
    </row>
    <row r="32" spans="1:53">
      <c r="A32">
        <v>2012</v>
      </c>
      <c r="B32">
        <v>4.04006985748338</v>
      </c>
      <c r="C32">
        <v>1.07283052009033</v>
      </c>
      <c r="D32">
        <v>-0.22803281284043</v>
      </c>
      <c r="E32">
        <v>0.307648408361533</v>
      </c>
      <c r="F32">
        <v>-1.55110686509234</v>
      </c>
      <c r="G32">
        <v>4.3355470635433</v>
      </c>
      <c r="H32">
        <f t="shared" si="0"/>
        <v>4.64319547190483</v>
      </c>
      <c r="I32">
        <f t="shared" si="1"/>
        <v>2.78444019845096</v>
      </c>
      <c r="K32">
        <v>3.84248061538439</v>
      </c>
      <c r="L32">
        <v>-2.44030309664514</v>
      </c>
      <c r="M32">
        <v>-1.6761742553336</v>
      </c>
      <c r="N32">
        <v>2.15727303143158</v>
      </c>
      <c r="O32">
        <v>-0.159952168150237</v>
      </c>
      <c r="P32">
        <v>5.90460751669686</v>
      </c>
      <c r="Q32">
        <f t="shared" si="2"/>
        <v>8.06188054812844</v>
      </c>
      <c r="R32">
        <f t="shared" si="3"/>
        <v>5.74465534854662</v>
      </c>
      <c r="T32">
        <v>1.38799469999979</v>
      </c>
      <c r="U32">
        <v>-1.92071395459111</v>
      </c>
      <c r="V32">
        <v>1.94558659722586</v>
      </c>
      <c r="W32">
        <v>-3.72826015245583</v>
      </c>
      <c r="X32">
        <v>1.01630959268782</v>
      </c>
      <c r="Y32">
        <v>4.72605292215135</v>
      </c>
      <c r="Z32">
        <f t="shared" si="4"/>
        <v>0.99779276969552</v>
      </c>
      <c r="AA32">
        <f t="shared" si="5"/>
        <v>5.74236251483917</v>
      </c>
      <c r="AC32">
        <v>1.80897297878791</v>
      </c>
      <c r="AD32">
        <v>-6.12254394071111</v>
      </c>
      <c r="AE32">
        <v>-0.235115267056164</v>
      </c>
      <c r="AF32">
        <v>0.504825495679702</v>
      </c>
      <c r="AG32">
        <v>0.402612531560637</v>
      </c>
      <c r="AH32">
        <v>6.79268604625862</v>
      </c>
      <c r="AI32">
        <f t="shared" si="6"/>
        <v>7.29751154193832</v>
      </c>
      <c r="AJ32">
        <f t="shared" si="7"/>
        <v>7.19529857781926</v>
      </c>
      <c r="AT32">
        <v>6.32321353030318</v>
      </c>
      <c r="AU32">
        <v>1.18288983072978</v>
      </c>
      <c r="AV32">
        <v>-1.01155754884304</v>
      </c>
      <c r="AW32">
        <v>-0.77090443631019</v>
      </c>
      <c r="AX32">
        <v>0.0431599849579735</v>
      </c>
      <c r="AY32">
        <v>6.91298350736073</v>
      </c>
      <c r="AZ32">
        <f t="shared" si="10"/>
        <v>6.14207907105054</v>
      </c>
      <c r="BA32">
        <f t="shared" si="11"/>
        <v>6.9561434923187</v>
      </c>
    </row>
    <row r="33" spans="1:53">
      <c r="A33">
        <v>2013</v>
      </c>
      <c r="B33">
        <v>-4.28758774374973</v>
      </c>
      <c r="C33">
        <v>-4.60119818149653</v>
      </c>
      <c r="D33">
        <v>-3.16430743574382</v>
      </c>
      <c r="E33">
        <v>0.636620583604065</v>
      </c>
      <c r="F33">
        <v>-1.49027105408539</v>
      </c>
      <c r="G33">
        <v>4.52283455621408</v>
      </c>
      <c r="H33">
        <f t="shared" si="0"/>
        <v>5.15945513981814</v>
      </c>
      <c r="I33">
        <f t="shared" si="1"/>
        <v>3.03256350212869</v>
      </c>
      <c r="K33">
        <v>1.84516851538442</v>
      </c>
      <c r="L33">
        <v>-3.14968693108871</v>
      </c>
      <c r="M33">
        <v>-4.0422247282921</v>
      </c>
      <c r="N33">
        <v>2.51797632573591</v>
      </c>
      <c r="O33">
        <v>-0.0959167706544634</v>
      </c>
      <c r="P33">
        <v>5.99656814672488</v>
      </c>
      <c r="Q33">
        <f t="shared" si="2"/>
        <v>8.51454447246079</v>
      </c>
      <c r="R33">
        <f t="shared" si="3"/>
        <v>5.90065137607042</v>
      </c>
      <c r="T33">
        <v>-0.0590718000001966</v>
      </c>
      <c r="U33">
        <v>-1.64666450851611</v>
      </c>
      <c r="V33">
        <v>-0.766979143097991</v>
      </c>
      <c r="W33">
        <v>-3.30548927955742</v>
      </c>
      <c r="X33">
        <v>0.775059279971182</v>
      </c>
      <c r="Y33">
        <v>5.05904050258325</v>
      </c>
      <c r="Z33">
        <f t="shared" si="4"/>
        <v>1.75355122302583</v>
      </c>
      <c r="AA33">
        <f t="shared" si="5"/>
        <v>5.83409978255443</v>
      </c>
      <c r="AC33">
        <v>6.70299707878787</v>
      </c>
      <c r="AD33">
        <v>0.966612974177443</v>
      </c>
      <c r="AE33">
        <v>-1.50226080578053</v>
      </c>
      <c r="AF33">
        <v>-0.254877429332188</v>
      </c>
      <c r="AG33">
        <v>0.153688341624338</v>
      </c>
      <c r="AH33">
        <v>7.13002451182866</v>
      </c>
      <c r="AI33">
        <f t="shared" si="6"/>
        <v>6.87514708249647</v>
      </c>
      <c r="AJ33">
        <f t="shared" si="7"/>
        <v>7.283712853453</v>
      </c>
      <c r="AT33">
        <v>5.52679833030322</v>
      </c>
      <c r="AU33">
        <v>-1.04018905258673</v>
      </c>
      <c r="AV33">
        <v>-0.397207250252544</v>
      </c>
      <c r="AW33">
        <v>-0.705716229777246</v>
      </c>
      <c r="AX33">
        <v>0.015720528713012</v>
      </c>
      <c r="AY33">
        <v>7.3434917173899</v>
      </c>
      <c r="AZ33">
        <f t="shared" si="10"/>
        <v>6.63777548761265</v>
      </c>
      <c r="BA33">
        <f t="shared" si="11"/>
        <v>7.35921224610291</v>
      </c>
    </row>
    <row r="34" spans="1:53">
      <c r="A34">
        <v>2014</v>
      </c>
      <c r="B34">
        <v>1.81776481890328</v>
      </c>
      <c r="C34">
        <v>0.219837132021834</v>
      </c>
      <c r="D34">
        <v>-2.64046045729954</v>
      </c>
      <c r="E34">
        <v>0.870133971470571</v>
      </c>
      <c r="F34">
        <v>-1.3814871227465</v>
      </c>
      <c r="G34">
        <v>4.69213302002913</v>
      </c>
      <c r="H34">
        <f t="shared" si="0"/>
        <v>5.5622669914997</v>
      </c>
      <c r="I34">
        <f t="shared" si="1"/>
        <v>3.31064589728263</v>
      </c>
      <c r="K34">
        <v>8.00884511538458</v>
      </c>
      <c r="L34">
        <v>0.868601513549915</v>
      </c>
      <c r="M34">
        <v>-1.86278231371981</v>
      </c>
      <c r="N34">
        <v>2.63922843203028</v>
      </c>
      <c r="O34">
        <v>-0.0430385256301997</v>
      </c>
      <c r="P34">
        <v>6.04888747278563</v>
      </c>
      <c r="Q34">
        <f t="shared" si="2"/>
        <v>8.68811590481591</v>
      </c>
      <c r="R34">
        <f t="shared" si="3"/>
        <v>6.00584894715543</v>
      </c>
      <c r="T34">
        <v>0.959989999999828</v>
      </c>
      <c r="U34">
        <v>-0.0446087519739602</v>
      </c>
      <c r="V34">
        <v>-2.30063439246065</v>
      </c>
      <c r="W34">
        <v>-2.5883682905694</v>
      </c>
      <c r="X34">
        <v>0.500727295670395</v>
      </c>
      <c r="Y34">
        <v>5.38945408341089</v>
      </c>
      <c r="Z34">
        <f t="shared" si="4"/>
        <v>2.80108579284149</v>
      </c>
      <c r="AA34">
        <f t="shared" si="5"/>
        <v>5.89018137908129</v>
      </c>
      <c r="AC34">
        <v>6.13744537878791</v>
      </c>
      <c r="AD34">
        <v>1.86281104897883</v>
      </c>
      <c r="AE34">
        <v>-1.77663561121921</v>
      </c>
      <c r="AF34">
        <v>-1.3770268710496</v>
      </c>
      <c r="AG34">
        <v>-0.167279909960573</v>
      </c>
      <c r="AH34">
        <v>7.45495672824294</v>
      </c>
      <c r="AI34">
        <f t="shared" si="6"/>
        <v>6.07792985719334</v>
      </c>
      <c r="AJ34">
        <f t="shared" si="7"/>
        <v>7.28767681828237</v>
      </c>
      <c r="AT34">
        <v>6.33500473030323</v>
      </c>
      <c r="AU34">
        <v>-0.166952866517706</v>
      </c>
      <c r="AV34">
        <v>0.331135179015337</v>
      </c>
      <c r="AW34">
        <v>-0.567442974908386</v>
      </c>
      <c r="AX34">
        <v>-0.0139735833746577</v>
      </c>
      <c r="AY34">
        <v>7.76886836332004</v>
      </c>
      <c r="AZ34">
        <f t="shared" si="10"/>
        <v>7.20142538841165</v>
      </c>
      <c r="BA34">
        <f t="shared" si="11"/>
        <v>7.75489477994538</v>
      </c>
    </row>
    <row r="35" spans="1:53">
      <c r="A35">
        <v>2015</v>
      </c>
      <c r="B35">
        <v>4.98239211449226</v>
      </c>
      <c r="C35">
        <v>-0.458402598489347</v>
      </c>
      <c r="D35">
        <v>0.400318529019381</v>
      </c>
      <c r="E35">
        <v>1.00264387186171</v>
      </c>
      <c r="F35">
        <v>-1.22538243875482</v>
      </c>
      <c r="G35">
        <v>4.84343718714085</v>
      </c>
      <c r="H35">
        <f t="shared" si="0"/>
        <v>5.84608105900256</v>
      </c>
      <c r="I35">
        <f t="shared" si="1"/>
        <v>3.61805474838603</v>
      </c>
      <c r="K35">
        <v>10.9970584153844</v>
      </c>
      <c r="L35">
        <v>-0.0278858812376412</v>
      </c>
      <c r="M35">
        <v>2.44558145465571</v>
      </c>
      <c r="N35">
        <v>2.48354005887236</v>
      </c>
      <c r="O35">
        <v>-0.00776581899012322</v>
      </c>
      <c r="P35">
        <v>6.06145154192093</v>
      </c>
      <c r="Q35">
        <f t="shared" si="2"/>
        <v>8.54499160079329</v>
      </c>
      <c r="R35">
        <f t="shared" si="3"/>
        <v>6.05368572293081</v>
      </c>
      <c r="T35">
        <v>1.29278409999982</v>
      </c>
      <c r="U35">
        <v>-0.370076202109685</v>
      </c>
      <c r="V35">
        <v>-1.96481234426402</v>
      </c>
      <c r="W35">
        <v>-1.58970181172947</v>
      </c>
      <c r="X35">
        <v>0.195568286130558</v>
      </c>
      <c r="Y35">
        <v>5.71723811166726</v>
      </c>
      <c r="Z35">
        <f t="shared" si="4"/>
        <v>4.12753629993779</v>
      </c>
      <c r="AA35">
        <f t="shared" si="5"/>
        <v>5.91280639779782</v>
      </c>
    </row>
    <row r="36" spans="1:53">
      <c r="A36">
        <v>2016</v>
      </c>
      <c r="B36">
        <v>12.5260369034784</v>
      </c>
      <c r="C36">
        <v>4.90377009500774</v>
      </c>
      <c r="D36">
        <v>2.66475138346245</v>
      </c>
      <c r="E36">
        <v>1.02867233031204</v>
      </c>
      <c r="F36">
        <v>-1.02257663030497</v>
      </c>
      <c r="G36">
        <v>4.97674178970159</v>
      </c>
      <c r="H36">
        <f t="shared" si="0"/>
        <v>6.00541412001363</v>
      </c>
      <c r="I36">
        <f t="shared" si="1"/>
        <v>3.95416515939662</v>
      </c>
      <c r="K36">
        <v>18.1898258153841</v>
      </c>
      <c r="L36">
        <v>5.03864344229878</v>
      </c>
      <c r="M36">
        <v>4.76447844777863</v>
      </c>
      <c r="N36">
        <v>2.03430591535941</v>
      </c>
      <c r="O36">
        <v>0.00346237712771222</v>
      </c>
      <c r="P36">
        <v>6.03414640117262</v>
      </c>
      <c r="Q36">
        <f t="shared" si="2"/>
        <v>8.06845231653203</v>
      </c>
      <c r="R36">
        <f t="shared" si="3"/>
        <v>6.03760877830033</v>
      </c>
      <c r="T36">
        <v>9.01265579999977</v>
      </c>
      <c r="U36">
        <v>3.03240532145555</v>
      </c>
      <c r="V36">
        <v>0.751402663764638</v>
      </c>
      <c r="W36">
        <v>-0.322294469275368</v>
      </c>
      <c r="X36">
        <v>-0.13816310230324</v>
      </c>
      <c r="Y36">
        <v>6.04233703438536</v>
      </c>
      <c r="Z36">
        <f t="shared" si="4"/>
        <v>5.72004256510999</v>
      </c>
      <c r="AA36">
        <f t="shared" si="5"/>
        <v>5.90417393208212</v>
      </c>
    </row>
    <row r="37" spans="1:53">
      <c r="A37">
        <v>2017</v>
      </c>
      <c r="B37">
        <v>7.11269778307544</v>
      </c>
      <c r="C37">
        <v>-0.762022115294869</v>
      </c>
      <c r="D37">
        <v>2.50999261642412</v>
      </c>
      <c r="E37">
        <v>0.945718119107996</v>
      </c>
      <c r="F37">
        <v>-0.773689325591617</v>
      </c>
      <c r="G37">
        <v>5.09204155986373</v>
      </c>
      <c r="H37">
        <f t="shared" si="0"/>
        <v>6.03775967897173</v>
      </c>
      <c r="I37">
        <f t="shared" si="1"/>
        <v>4.31835223427211</v>
      </c>
      <c r="K37">
        <v>10.2062506153845</v>
      </c>
      <c r="L37">
        <v>0.295179284464246</v>
      </c>
      <c r="M37">
        <v>3.29902511718693</v>
      </c>
      <c r="N37">
        <v>1.28052527079785</v>
      </c>
      <c r="O37">
        <v>-0.015792909414748</v>
      </c>
      <c r="P37">
        <v>5.96685809758259</v>
      </c>
      <c r="Q37">
        <f t="shared" si="2"/>
        <v>7.24738336838044</v>
      </c>
      <c r="R37">
        <f t="shared" si="3"/>
        <v>5.95106518816784</v>
      </c>
    </row>
    <row r="38" spans="1:53">
      <c r="A38">
        <v>2018</v>
      </c>
      <c r="B38">
        <v>3.72478817094637</v>
      </c>
      <c r="C38">
        <v>-2.50413414949416</v>
      </c>
      <c r="D38">
        <v>0.742489793995846</v>
      </c>
      <c r="E38">
        <v>0.749975859227763</v>
      </c>
      <c r="F38">
        <v>-0.479340152809379</v>
      </c>
      <c r="G38">
        <v>5.18933122977962</v>
      </c>
      <c r="H38">
        <f t="shared" si="0"/>
        <v>5.93930708900738</v>
      </c>
      <c r="I38">
        <f t="shared" si="1"/>
        <v>4.70999107697024</v>
      </c>
      <c r="K38">
        <v>2.40939011538446</v>
      </c>
      <c r="L38">
        <v>-4.37721383387162</v>
      </c>
      <c r="M38">
        <v>-0.377531257937018</v>
      </c>
      <c r="N38">
        <v>0.21648151292576</v>
      </c>
      <c r="O38">
        <v>-0.0719706507555569</v>
      </c>
      <c r="P38">
        <v>5.85947267819262</v>
      </c>
      <c r="Q38">
        <f t="shared" si="2"/>
        <v>6.07595419111838</v>
      </c>
      <c r="R38">
        <f t="shared" si="3"/>
        <v>5.78750202743706</v>
      </c>
    </row>
    <row r="39" spans="1:53">
      <c r="A39">
        <v>2019</v>
      </c>
      <c r="B39">
        <v>-0.316259345419672</v>
      </c>
      <c r="C39">
        <v>-4.65580486821444</v>
      </c>
      <c r="D39">
        <v>-1.05427516432533</v>
      </c>
      <c r="E39">
        <v>0.437126319553996</v>
      </c>
      <c r="F39">
        <v>-0.140148740152904</v>
      </c>
      <c r="G39">
        <v>5.26860553160166</v>
      </c>
      <c r="H39">
        <f t="shared" si="0"/>
        <v>5.70573185115566</v>
      </c>
      <c r="I39">
        <f t="shared" si="1"/>
        <v>5.12845679144876</v>
      </c>
      <c r="K39">
        <v>-3.56425018461546</v>
      </c>
      <c r="L39">
        <v>-4.41754409392761</v>
      </c>
      <c r="M39">
        <v>-3.55265104528463</v>
      </c>
      <c r="N39">
        <v>-1.1622713174896</v>
      </c>
      <c r="O39">
        <v>-0.171509819032767</v>
      </c>
      <c r="P39">
        <v>5.71187619004461</v>
      </c>
      <c r="Q39">
        <f t="shared" si="2"/>
        <v>4.54960487255501</v>
      </c>
      <c r="R39">
        <f t="shared" si="3"/>
        <v>5.54036637101184</v>
      </c>
    </row>
    <row r="40" spans="1:53">
      <c r="A40">
        <v>2020</v>
      </c>
      <c r="B40">
        <v>7.67609962735613</v>
      </c>
      <c r="C40">
        <v>3.051289470508</v>
      </c>
      <c r="D40">
        <v>-1.2261754754915</v>
      </c>
      <c r="E40">
        <v>0.00285026896934132</v>
      </c>
      <c r="F40">
        <v>0.243265284183168</v>
      </c>
      <c r="G40">
        <v>5.32985919748221</v>
      </c>
      <c r="H40">
        <f t="shared" si="0"/>
        <v>5.33270946645155</v>
      </c>
      <c r="I40">
        <f t="shared" si="1"/>
        <v>5.57312448166538</v>
      </c>
      <c r="K40">
        <v>3.33241911538449</v>
      </c>
      <c r="L40">
        <v>4.57245125214808</v>
      </c>
      <c r="M40">
        <v>-3.40249455297002</v>
      </c>
      <c r="N40">
        <v>-2.86017917968096</v>
      </c>
      <c r="O40">
        <v>-0.320849386384434</v>
      </c>
      <c r="P40">
        <v>5.52395468018041</v>
      </c>
      <c r="Q40">
        <f t="shared" si="2"/>
        <v>2.66377550049945</v>
      </c>
      <c r="R40">
        <f t="shared" si="3"/>
        <v>5.20310529379598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ET_abm</vt:lpstr>
      <vt:lpstr>EEMD_trend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？贝加尔湖畔</cp:lastModifiedBy>
  <dcterms:created xsi:type="dcterms:W3CDTF">2024-11-22T02:09:00Z</dcterms:created>
  <dcterms:modified xsi:type="dcterms:W3CDTF">2026-02-12T09:17:55Z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B79D4774E7654837A159F53B92D52C9F_13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